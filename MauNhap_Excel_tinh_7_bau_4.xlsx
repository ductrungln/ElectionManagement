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6555"/>
  </bookViews>
  <sheets>
    <sheet name="Mau Nhap" sheetId="1" r:id="rId1"/>
  </sheets>
  <calcPr calcId="162913"/>
</workbook>
</file>

<file path=xl/calcChain.xml><?xml version="1.0" encoding="utf-8"?>
<calcChain xmlns="http://schemas.openxmlformats.org/spreadsheetml/2006/main">
  <c r="J3" i="1" l="1"/>
  <c r="C121" i="1" l="1"/>
  <c r="C119" i="1"/>
  <c r="C116" i="1"/>
  <c r="C115" i="1"/>
  <c r="C114" i="1"/>
  <c r="C113" i="1"/>
  <c r="C112" i="1"/>
  <c r="C111" i="1"/>
  <c r="C110" i="1"/>
  <c r="C105" i="1"/>
  <c r="J103" i="1"/>
  <c r="I103" i="1"/>
  <c r="H103" i="1"/>
  <c r="G103" i="1"/>
  <c r="F103" i="1"/>
  <c r="E103" i="1"/>
  <c r="J102" i="1"/>
  <c r="I102" i="1"/>
  <c r="H102" i="1"/>
  <c r="G102" i="1"/>
  <c r="F102" i="1"/>
  <c r="D102" i="1"/>
  <c r="J101" i="1"/>
  <c r="I101" i="1"/>
  <c r="H101" i="1"/>
  <c r="G101" i="1"/>
  <c r="E101" i="1"/>
  <c r="D101" i="1"/>
  <c r="J100" i="1"/>
  <c r="I100" i="1"/>
  <c r="H100" i="1"/>
  <c r="F100" i="1"/>
  <c r="E100" i="1"/>
  <c r="D100" i="1"/>
  <c r="J99" i="1"/>
  <c r="I99" i="1"/>
  <c r="G99" i="1"/>
  <c r="F99" i="1"/>
  <c r="E99" i="1"/>
  <c r="D99" i="1"/>
  <c r="J98" i="1"/>
  <c r="H98" i="1"/>
  <c r="G98" i="1"/>
  <c r="F98" i="1"/>
  <c r="E98" i="1"/>
  <c r="D98" i="1"/>
  <c r="I97" i="1"/>
  <c r="H97" i="1"/>
  <c r="G97" i="1"/>
  <c r="F97" i="1"/>
  <c r="E97" i="1"/>
  <c r="D97" i="1"/>
  <c r="J96" i="1"/>
  <c r="I96" i="1"/>
  <c r="H96" i="1"/>
  <c r="G96" i="1"/>
  <c r="F96" i="1"/>
  <c r="J95" i="1"/>
  <c r="I95" i="1"/>
  <c r="H95" i="1"/>
  <c r="G95" i="1"/>
  <c r="E95" i="1"/>
  <c r="J94" i="1"/>
  <c r="I94" i="1"/>
  <c r="H94" i="1"/>
  <c r="F94" i="1"/>
  <c r="E94" i="1"/>
  <c r="J93" i="1"/>
  <c r="I93" i="1"/>
  <c r="G93" i="1"/>
  <c r="F93" i="1"/>
  <c r="E93" i="1"/>
  <c r="J92" i="1"/>
  <c r="H92" i="1"/>
  <c r="G92" i="1"/>
  <c r="F92" i="1"/>
  <c r="E92" i="1"/>
  <c r="I91" i="1"/>
  <c r="H91" i="1"/>
  <c r="G91" i="1"/>
  <c r="F91" i="1"/>
  <c r="E91" i="1"/>
  <c r="J90" i="1"/>
  <c r="I90" i="1"/>
  <c r="H90" i="1"/>
  <c r="G90" i="1"/>
  <c r="D90" i="1"/>
  <c r="J89" i="1"/>
  <c r="I89" i="1"/>
  <c r="H89" i="1"/>
  <c r="F89" i="1"/>
  <c r="D89" i="1"/>
  <c r="J88" i="1"/>
  <c r="I88" i="1"/>
  <c r="G88" i="1"/>
  <c r="F88" i="1"/>
  <c r="D88" i="1"/>
  <c r="J87" i="1"/>
  <c r="H87" i="1"/>
  <c r="G87" i="1"/>
  <c r="F87" i="1"/>
  <c r="D87" i="1"/>
  <c r="I86" i="1"/>
  <c r="H86" i="1"/>
  <c r="G86" i="1"/>
  <c r="F86" i="1"/>
  <c r="D86" i="1"/>
  <c r="J85" i="1"/>
  <c r="I85" i="1"/>
  <c r="H85" i="1"/>
  <c r="E85" i="1"/>
  <c r="D85" i="1"/>
  <c r="J84" i="1"/>
  <c r="I84" i="1"/>
  <c r="G84" i="1"/>
  <c r="E84" i="1"/>
  <c r="D84" i="1"/>
  <c r="J83" i="1"/>
  <c r="H83" i="1"/>
  <c r="G83" i="1"/>
  <c r="E83" i="1"/>
  <c r="D83" i="1"/>
  <c r="I82" i="1"/>
  <c r="H82" i="1"/>
  <c r="G82" i="1"/>
  <c r="E82" i="1"/>
  <c r="D82" i="1"/>
  <c r="J81" i="1"/>
  <c r="I81" i="1"/>
  <c r="F81" i="1"/>
  <c r="E81" i="1"/>
  <c r="D81" i="1"/>
  <c r="J80" i="1"/>
  <c r="H80" i="1"/>
  <c r="F80" i="1"/>
  <c r="E80" i="1"/>
  <c r="D80" i="1"/>
  <c r="I79" i="1"/>
  <c r="H79" i="1"/>
  <c r="F79" i="1"/>
  <c r="E79" i="1"/>
  <c r="D79" i="1"/>
  <c r="J78" i="1"/>
  <c r="G78" i="1"/>
  <c r="F78" i="1"/>
  <c r="E78" i="1"/>
  <c r="D78" i="1"/>
  <c r="I77" i="1"/>
  <c r="G77" i="1"/>
  <c r="F77" i="1"/>
  <c r="E77" i="1"/>
  <c r="D77" i="1"/>
  <c r="H76" i="1"/>
  <c r="G76" i="1"/>
  <c r="F76" i="1"/>
  <c r="E76" i="1"/>
  <c r="D76" i="1"/>
  <c r="J75" i="1"/>
  <c r="I75" i="1"/>
  <c r="H75" i="1"/>
  <c r="G75" i="1"/>
  <c r="J74" i="1"/>
  <c r="I74" i="1"/>
  <c r="H74" i="1"/>
  <c r="F74" i="1"/>
  <c r="J73" i="1"/>
  <c r="I73" i="1"/>
  <c r="G73" i="1"/>
  <c r="F73" i="1"/>
  <c r="J72" i="1"/>
  <c r="H72" i="1"/>
  <c r="G72" i="1"/>
  <c r="F72" i="1"/>
  <c r="I71" i="1"/>
  <c r="H71" i="1"/>
  <c r="G71" i="1"/>
  <c r="F71" i="1"/>
  <c r="J70" i="1"/>
  <c r="I70" i="1"/>
  <c r="H70" i="1"/>
  <c r="E70" i="1"/>
  <c r="J69" i="1"/>
  <c r="I69" i="1"/>
  <c r="G69" i="1"/>
  <c r="E69" i="1"/>
  <c r="J68" i="1"/>
  <c r="H68" i="1"/>
  <c r="G68" i="1"/>
  <c r="E68" i="1"/>
  <c r="I67" i="1"/>
  <c r="H67" i="1"/>
  <c r="G67" i="1"/>
  <c r="E67" i="1"/>
  <c r="J66" i="1"/>
  <c r="I66" i="1"/>
  <c r="F66" i="1"/>
  <c r="E66" i="1"/>
  <c r="J65" i="1"/>
  <c r="H65" i="1"/>
  <c r="F65" i="1"/>
  <c r="E65" i="1"/>
  <c r="I64" i="1"/>
  <c r="H64" i="1"/>
  <c r="F64" i="1"/>
  <c r="E64" i="1"/>
  <c r="J63" i="1"/>
  <c r="G63" i="1"/>
  <c r="F63" i="1"/>
  <c r="E63" i="1"/>
  <c r="I62" i="1"/>
  <c r="G62" i="1"/>
  <c r="F62" i="1"/>
  <c r="E62" i="1"/>
  <c r="H61" i="1"/>
  <c r="G61" i="1"/>
  <c r="F61" i="1"/>
  <c r="E61" i="1"/>
  <c r="J60" i="1"/>
  <c r="I60" i="1"/>
  <c r="H60" i="1"/>
  <c r="D60" i="1"/>
  <c r="J59" i="1"/>
  <c r="I59" i="1"/>
  <c r="G59" i="1"/>
  <c r="D59" i="1"/>
  <c r="J58" i="1"/>
  <c r="H58" i="1"/>
  <c r="G58" i="1"/>
  <c r="D58" i="1"/>
  <c r="I57" i="1"/>
  <c r="H57" i="1"/>
  <c r="G57" i="1"/>
  <c r="D57" i="1"/>
  <c r="J56" i="1"/>
  <c r="I56" i="1"/>
  <c r="F56" i="1"/>
  <c r="D56" i="1"/>
  <c r="J55" i="1"/>
  <c r="H55" i="1"/>
  <c r="F55" i="1"/>
  <c r="D55" i="1"/>
  <c r="I54" i="1"/>
  <c r="H54" i="1"/>
  <c r="F54" i="1"/>
  <c r="D54" i="1"/>
  <c r="J53" i="1"/>
  <c r="G53" i="1"/>
  <c r="F53" i="1"/>
  <c r="D53" i="1"/>
  <c r="I52" i="1"/>
  <c r="G52" i="1"/>
  <c r="F52" i="1"/>
  <c r="D52" i="1"/>
  <c r="H51" i="1"/>
  <c r="G51" i="1"/>
  <c r="F51" i="1"/>
  <c r="D51" i="1"/>
  <c r="J50" i="1"/>
  <c r="I50" i="1"/>
  <c r="E50" i="1"/>
  <c r="D50" i="1"/>
  <c r="J49" i="1"/>
  <c r="H49" i="1"/>
  <c r="E49" i="1"/>
  <c r="D49" i="1"/>
  <c r="I48" i="1"/>
  <c r="H48" i="1"/>
  <c r="E48" i="1"/>
  <c r="D48" i="1"/>
  <c r="J47" i="1"/>
  <c r="G47" i="1"/>
  <c r="E47" i="1"/>
  <c r="D47" i="1"/>
  <c r="I46" i="1"/>
  <c r="G46" i="1"/>
  <c r="E46" i="1"/>
  <c r="D46" i="1"/>
  <c r="H45" i="1"/>
  <c r="G45" i="1"/>
  <c r="E45" i="1"/>
  <c r="D45" i="1"/>
  <c r="J44" i="1"/>
  <c r="F44" i="1"/>
  <c r="E44" i="1"/>
  <c r="D44" i="1"/>
  <c r="I43" i="1"/>
  <c r="F43" i="1"/>
  <c r="E43" i="1"/>
  <c r="D43" i="1"/>
  <c r="H42" i="1"/>
  <c r="F42" i="1"/>
  <c r="E42" i="1"/>
  <c r="D42" i="1"/>
  <c r="G41" i="1"/>
  <c r="F41" i="1"/>
  <c r="E41" i="1"/>
  <c r="D41" i="1"/>
  <c r="J40" i="1"/>
  <c r="I40" i="1"/>
  <c r="H40" i="1"/>
  <c r="J39" i="1"/>
  <c r="I39" i="1"/>
  <c r="G39" i="1"/>
  <c r="J38" i="1"/>
  <c r="H38" i="1"/>
  <c r="G38" i="1"/>
  <c r="I37" i="1"/>
  <c r="H37" i="1"/>
  <c r="G37" i="1"/>
  <c r="J36" i="1"/>
  <c r="I36" i="1"/>
  <c r="F36" i="1"/>
  <c r="J35" i="1"/>
  <c r="H35" i="1"/>
  <c r="F35" i="1"/>
  <c r="I34" i="1"/>
  <c r="H34" i="1"/>
  <c r="F34" i="1"/>
  <c r="J33" i="1"/>
  <c r="G33" i="1"/>
  <c r="F33" i="1"/>
  <c r="I32" i="1"/>
  <c r="G32" i="1"/>
  <c r="F32" i="1"/>
  <c r="H31" i="1"/>
  <c r="G31" i="1"/>
  <c r="F31" i="1"/>
  <c r="J30" i="1"/>
  <c r="I30" i="1"/>
  <c r="E30" i="1"/>
  <c r="J29" i="1"/>
  <c r="H29" i="1"/>
  <c r="E29" i="1"/>
  <c r="I28" i="1"/>
  <c r="H28" i="1"/>
  <c r="E28" i="1"/>
  <c r="J27" i="1"/>
  <c r="G27" i="1"/>
  <c r="E27" i="1"/>
  <c r="I26" i="1"/>
  <c r="G26" i="1"/>
  <c r="E26" i="1"/>
  <c r="H25" i="1"/>
  <c r="G25" i="1"/>
  <c r="E25" i="1"/>
  <c r="J24" i="1"/>
  <c r="F24" i="1"/>
  <c r="E24" i="1"/>
  <c r="I23" i="1"/>
  <c r="F23" i="1"/>
  <c r="E23" i="1"/>
  <c r="H22" i="1"/>
  <c r="F22" i="1"/>
  <c r="E22" i="1"/>
  <c r="G21" i="1"/>
  <c r="F21" i="1"/>
  <c r="E21" i="1"/>
  <c r="J20" i="1"/>
  <c r="I20" i="1"/>
  <c r="D20" i="1"/>
  <c r="J19" i="1"/>
  <c r="H19" i="1"/>
  <c r="D19" i="1"/>
  <c r="I18" i="1"/>
  <c r="H18" i="1"/>
  <c r="D18" i="1"/>
  <c r="J17" i="1"/>
  <c r="G17" i="1"/>
  <c r="D17" i="1"/>
  <c r="I16" i="1"/>
  <c r="G16" i="1"/>
  <c r="D16" i="1"/>
  <c r="H15" i="1"/>
  <c r="G15" i="1"/>
  <c r="D15" i="1"/>
  <c r="J14" i="1"/>
  <c r="F14" i="1"/>
  <c r="D14" i="1"/>
  <c r="I13" i="1"/>
  <c r="F13" i="1"/>
  <c r="D13" i="1"/>
  <c r="H12" i="1"/>
  <c r="F12" i="1"/>
  <c r="D12" i="1"/>
  <c r="G11" i="1"/>
  <c r="F11" i="1"/>
  <c r="D11" i="1"/>
  <c r="J10" i="1"/>
  <c r="E10" i="1"/>
  <c r="D10" i="1"/>
  <c r="I9" i="1"/>
  <c r="E9" i="1"/>
  <c r="D9" i="1"/>
  <c r="H8" i="1"/>
  <c r="E8" i="1"/>
  <c r="D8" i="1"/>
  <c r="G7" i="1"/>
  <c r="E7" i="1"/>
  <c r="D7" i="1"/>
  <c r="F6" i="1"/>
  <c r="E6" i="1"/>
  <c r="D6" i="1"/>
  <c r="F105" i="1" l="1"/>
  <c r="D112" i="1" s="1"/>
  <c r="E105" i="1"/>
  <c r="D111" i="1" s="1"/>
  <c r="D105" i="1"/>
  <c r="D110" i="1" s="1"/>
  <c r="J105" i="1"/>
  <c r="D116" i="1" s="1"/>
  <c r="I105" i="1"/>
  <c r="D115" i="1" s="1"/>
  <c r="H105" i="1"/>
  <c r="D114" i="1" s="1"/>
  <c r="G105" i="1"/>
  <c r="D113" i="1" s="1"/>
  <c r="E111" i="1"/>
  <c r="E115" i="1"/>
  <c r="E110" i="1"/>
  <c r="E114" i="1"/>
  <c r="C130" i="1" s="1"/>
  <c r="C120" i="1"/>
  <c r="A107" i="1"/>
  <c r="E113" i="1"/>
  <c r="C129" i="1" s="1"/>
  <c r="C127" i="1"/>
  <c r="D127" i="1" s="1"/>
  <c r="E127" i="1" s="1"/>
  <c r="C131" i="1"/>
  <c r="D131" i="1" s="1"/>
  <c r="E131" i="1" s="1"/>
  <c r="E112" i="1"/>
  <c r="C128" i="1" s="1"/>
  <c r="E116" i="1"/>
  <c r="C132" i="1" s="1"/>
  <c r="D132" i="1" s="1"/>
  <c r="E132" i="1" s="1"/>
  <c r="C126" i="1"/>
  <c r="D128" i="1" l="1"/>
  <c r="E128" i="1" s="1"/>
  <c r="D126" i="1"/>
  <c r="E126" i="1" s="1"/>
  <c r="D130" i="1"/>
  <c r="E130" i="1" s="1"/>
  <c r="D129" i="1"/>
  <c r="E129" i="1" s="1"/>
</calcChain>
</file>

<file path=xl/sharedStrings.xml><?xml version="1.0" encoding="utf-8"?>
<sst xmlns="http://schemas.openxmlformats.org/spreadsheetml/2006/main" count="555" uniqueCount="236">
  <si>
    <t>MẪU NHẬP EXCEL BẦU CỬ CẤP TỈNH</t>
  </si>
  <si>
    <t>[KP:tinh:7:4:1] — Cấp TỈNH — 7 ứng viên, bầu 4</t>
  </si>
  <si>
    <t>Phiếu phát ra:</t>
  </si>
  <si>
    <t/>
  </si>
  <si>
    <t>Phiếu gạch cho mỗi ứng cử</t>
  </si>
  <si>
    <t>Ứng cử viên số 1</t>
  </si>
  <si>
    <t>Ứng cử viên số 2</t>
  </si>
  <si>
    <t>Ứng cử viên số 3</t>
  </si>
  <si>
    <t>Ứng cử viên số 4</t>
  </si>
  <si>
    <t>Ứng cử viên số 5</t>
  </si>
  <si>
    <t>Ứng cử viên số 6</t>
  </si>
  <si>
    <t>Ứng cử viên số 7</t>
  </si>
  <si>
    <t>STT</t>
  </si>
  <si>
    <t>Mô tả</t>
  </si>
  <si>
    <t>Số phiếu</t>
  </si>
  <si>
    <t>1.</t>
  </si>
  <si>
    <t>Cặp 1-2-3</t>
  </si>
  <si>
    <t>2.</t>
  </si>
  <si>
    <t>Cặp 1-2-4</t>
  </si>
  <si>
    <t>3.</t>
  </si>
  <si>
    <t>Cặp 1-2-5</t>
  </si>
  <si>
    <t>4.</t>
  </si>
  <si>
    <t>Cặp 1-2-6</t>
  </si>
  <si>
    <t>5.</t>
  </si>
  <si>
    <t>Cặp 1-2-7</t>
  </si>
  <si>
    <t>6.</t>
  </si>
  <si>
    <t>Cặp 1-3-4</t>
  </si>
  <si>
    <t>7.</t>
  </si>
  <si>
    <t>Cặp 1-3-5</t>
  </si>
  <si>
    <t>8.</t>
  </si>
  <si>
    <t>Cặp 1-3-6</t>
  </si>
  <si>
    <t>9.</t>
  </si>
  <si>
    <t>Cặp 1-3-7</t>
  </si>
  <si>
    <t>10.</t>
  </si>
  <si>
    <t>Cặp 1-4-5</t>
  </si>
  <si>
    <t>11.</t>
  </si>
  <si>
    <t>Cặp 1-4-6</t>
  </si>
  <si>
    <t>12.</t>
  </si>
  <si>
    <t>Cặp 1-4-7</t>
  </si>
  <si>
    <t>13.</t>
  </si>
  <si>
    <t>Cặp 1-5-6</t>
  </si>
  <si>
    <t>14.</t>
  </si>
  <si>
    <t>Cặp 1-5-7</t>
  </si>
  <si>
    <t>15.</t>
  </si>
  <si>
    <t>Cặp 1-6-7</t>
  </si>
  <si>
    <t>16.</t>
  </si>
  <si>
    <t>Cặp 2-3-4</t>
  </si>
  <si>
    <t>17.</t>
  </si>
  <si>
    <t>Cặp 2-3-5</t>
  </si>
  <si>
    <t>18.</t>
  </si>
  <si>
    <t>Cặp 2-3-6</t>
  </si>
  <si>
    <t>19.</t>
  </si>
  <si>
    <t>Cặp 2-3-7</t>
  </si>
  <si>
    <t>20.</t>
  </si>
  <si>
    <t>Cặp 2-4-5</t>
  </si>
  <si>
    <t>21.</t>
  </si>
  <si>
    <t>Cặp 2-4-6</t>
  </si>
  <si>
    <t>22.</t>
  </si>
  <si>
    <t>Cặp 2-4-7</t>
  </si>
  <si>
    <t>23.</t>
  </si>
  <si>
    <t>Cặp 2-5-6</t>
  </si>
  <si>
    <t>24.</t>
  </si>
  <si>
    <t>Cặp 2-5-7</t>
  </si>
  <si>
    <t>25.</t>
  </si>
  <si>
    <t>Cặp 2-6-7</t>
  </si>
  <si>
    <t>26.</t>
  </si>
  <si>
    <t>Cặp 3-4-5</t>
  </si>
  <si>
    <t>27.</t>
  </si>
  <si>
    <t>Cặp 3-4-6</t>
  </si>
  <si>
    <t>28.</t>
  </si>
  <si>
    <t>Cặp 3-4-7</t>
  </si>
  <si>
    <t>29.</t>
  </si>
  <si>
    <t>Cặp 3-5-6</t>
  </si>
  <si>
    <t>30.</t>
  </si>
  <si>
    <t>Cặp 3-5-7</t>
  </si>
  <si>
    <t>31.</t>
  </si>
  <si>
    <t>Cặp 3-6-7</t>
  </si>
  <si>
    <t>32.</t>
  </si>
  <si>
    <t>Cặp 4-5-6</t>
  </si>
  <si>
    <t>33.</t>
  </si>
  <si>
    <t>Cặp 4-5-7</t>
  </si>
  <si>
    <t>34.</t>
  </si>
  <si>
    <t>Cặp 4-6-7</t>
  </si>
  <si>
    <t>35.</t>
  </si>
  <si>
    <t>Cặp 5-6-7</t>
  </si>
  <si>
    <t>36.</t>
  </si>
  <si>
    <t>Cặp 1-2-3-4</t>
  </si>
  <si>
    <t>37.</t>
  </si>
  <si>
    <t>Cặp 1-2-3-5</t>
  </si>
  <si>
    <t>38.</t>
  </si>
  <si>
    <t>Cặp 1-2-3-6</t>
  </si>
  <si>
    <t>39.</t>
  </si>
  <si>
    <t>Cặp 1-2-3-7</t>
  </si>
  <si>
    <t>40.</t>
  </si>
  <si>
    <t>Cặp 1-2-4-5</t>
  </si>
  <si>
    <t>41.</t>
  </si>
  <si>
    <t>Cặp 1-2-4-6</t>
  </si>
  <si>
    <t>42.</t>
  </si>
  <si>
    <t>Cặp 1-2-4-7</t>
  </si>
  <si>
    <t>43.</t>
  </si>
  <si>
    <t>Cặp 1-2-5-6</t>
  </si>
  <si>
    <t>44.</t>
  </si>
  <si>
    <t>Cặp 1-2-5-7</t>
  </si>
  <si>
    <t>45.</t>
  </si>
  <si>
    <t>Cặp 1-2-6-7</t>
  </si>
  <si>
    <t>46.</t>
  </si>
  <si>
    <t>Cặp 1-3-4-5</t>
  </si>
  <si>
    <t>47.</t>
  </si>
  <si>
    <t>Cặp 1-3-4-6</t>
  </si>
  <si>
    <t>48.</t>
  </si>
  <si>
    <t>Cặp 1-3-4-7</t>
  </si>
  <si>
    <t>49.</t>
  </si>
  <si>
    <t>Cặp 1-3-5-6</t>
  </si>
  <si>
    <t>50.</t>
  </si>
  <si>
    <t>Cặp 1-3-5-7</t>
  </si>
  <si>
    <t>51.</t>
  </si>
  <si>
    <t>Cặp 1-3-6-7</t>
  </si>
  <si>
    <t>52.</t>
  </si>
  <si>
    <t>Cặp 1-4-5-6</t>
  </si>
  <si>
    <t>53.</t>
  </si>
  <si>
    <t>Cặp 1-4-5-7</t>
  </si>
  <si>
    <t>54.</t>
  </si>
  <si>
    <t>Cặp 1-4-6-7</t>
  </si>
  <si>
    <t>55.</t>
  </si>
  <si>
    <t>Cặp 1-5-6-7</t>
  </si>
  <si>
    <t>56.</t>
  </si>
  <si>
    <t>Cặp 2-3-4-5</t>
  </si>
  <si>
    <t>57.</t>
  </si>
  <si>
    <t>Cặp 2-3-4-6</t>
  </si>
  <si>
    <t>58.</t>
  </si>
  <si>
    <t>Cặp 2-3-4-7</t>
  </si>
  <si>
    <t>59.</t>
  </si>
  <si>
    <t>Cặp 2-3-5-6</t>
  </si>
  <si>
    <t>60.</t>
  </si>
  <si>
    <t>Cặp 2-3-5-7</t>
  </si>
  <si>
    <t>61.</t>
  </si>
  <si>
    <t>Cặp 2-3-6-7</t>
  </si>
  <si>
    <t>62.</t>
  </si>
  <si>
    <t>Cặp 2-4-5-6</t>
  </si>
  <si>
    <t>63.</t>
  </si>
  <si>
    <t>Cặp 2-4-5-7</t>
  </si>
  <si>
    <t>64.</t>
  </si>
  <si>
    <t>Cặp 2-4-6-7</t>
  </si>
  <si>
    <t>65.</t>
  </si>
  <si>
    <t>Cặp 2-5-6-7</t>
  </si>
  <si>
    <t>66.</t>
  </si>
  <si>
    <t>Cặp 3-4-5-6</t>
  </si>
  <si>
    <t>67.</t>
  </si>
  <si>
    <t>Cặp 3-4-5-7</t>
  </si>
  <si>
    <t>68.</t>
  </si>
  <si>
    <t>Cặp 3-4-6-7</t>
  </si>
  <si>
    <t>69.</t>
  </si>
  <si>
    <t>Cặp 3-5-6-7</t>
  </si>
  <si>
    <t>70.</t>
  </si>
  <si>
    <t>Cặp 4-5-6-7</t>
  </si>
  <si>
    <t>71.</t>
  </si>
  <si>
    <t>Cặp 1-2-3-4-5</t>
  </si>
  <si>
    <t>72.</t>
  </si>
  <si>
    <t>Cặp 1-2-3-4-6</t>
  </si>
  <si>
    <t>73.</t>
  </si>
  <si>
    <t>Cặp 1-2-3-4-7</t>
  </si>
  <si>
    <t>74.</t>
  </si>
  <si>
    <t>Cặp 1-2-3-5-6</t>
  </si>
  <si>
    <t>75.</t>
  </si>
  <si>
    <t>Cặp 1-2-3-5-7</t>
  </si>
  <si>
    <t>76.</t>
  </si>
  <si>
    <t>Cặp 1-2-3-6-7</t>
  </si>
  <si>
    <t>77.</t>
  </si>
  <si>
    <t>Cặp 1-2-4-5-6</t>
  </si>
  <si>
    <t>78.</t>
  </si>
  <si>
    <t>Cặp 1-2-4-5-7</t>
  </si>
  <si>
    <t>79.</t>
  </si>
  <si>
    <t>Cặp 1-2-4-6-7</t>
  </si>
  <si>
    <t>80.</t>
  </si>
  <si>
    <t>Cặp 1-2-5-6-7</t>
  </si>
  <si>
    <t>81.</t>
  </si>
  <si>
    <t>Cặp 1-3-4-5-6</t>
  </si>
  <si>
    <t>82.</t>
  </si>
  <si>
    <t>Cặp 1-3-4-5-7</t>
  </si>
  <si>
    <t>83.</t>
  </si>
  <si>
    <t>Cặp 1-3-4-6-7</t>
  </si>
  <si>
    <t>84.</t>
  </si>
  <si>
    <t>Cặp 1-3-5-6-7</t>
  </si>
  <si>
    <t>85.</t>
  </si>
  <si>
    <t>Cặp 1-4-5-6-7</t>
  </si>
  <si>
    <t>86.</t>
  </si>
  <si>
    <t>Cặp 2-3-4-5-6</t>
  </si>
  <si>
    <t>87.</t>
  </si>
  <si>
    <t>Cặp 2-3-4-5-7</t>
  </si>
  <si>
    <t>88.</t>
  </si>
  <si>
    <t>Cặp 2-3-4-6-7</t>
  </si>
  <si>
    <t>89.</t>
  </si>
  <si>
    <t>Cặp 2-3-5-6-7</t>
  </si>
  <si>
    <t>90.</t>
  </si>
  <si>
    <t>Cặp 2-4-5-6-7</t>
  </si>
  <si>
    <t>91.</t>
  </si>
  <si>
    <t>Cặp 3-4-5-6-7</t>
  </si>
  <si>
    <t>92.</t>
  </si>
  <si>
    <t>Cặp 1-2-3-4-5-6</t>
  </si>
  <si>
    <t>93.</t>
  </si>
  <si>
    <t>Cặp 1-2-3-4-5-7</t>
  </si>
  <si>
    <t>94.</t>
  </si>
  <si>
    <t>Cặp 1-2-3-4-6-7</t>
  </si>
  <si>
    <t>95.</t>
  </si>
  <si>
    <t>Cặp 1-2-3-5-6-7</t>
  </si>
  <si>
    <t>96.</t>
  </si>
  <si>
    <t>Cặp 1-2-4-5-6-7</t>
  </si>
  <si>
    <t>97.</t>
  </si>
  <si>
    <t>Cặp 1-3-4-5-6-7</t>
  </si>
  <si>
    <t>98.</t>
  </si>
  <si>
    <t>Cặp 2-3-4-5-6-7</t>
  </si>
  <si>
    <t>99.</t>
  </si>
  <si>
    <t>Phiếu không hợp lệ</t>
  </si>
  <si>
    <t>Ứng cử viên</t>
  </si>
  <si>
    <t>Phiếu phát ra</t>
  </si>
  <si>
    <t>Phiếu bị gạch</t>
  </si>
  <si>
    <t>📢 KẾT LUẬN</t>
  </si>
  <si>
    <t>- Tổng số phiếu phát ra:</t>
  </si>
  <si>
    <t>- Tổng số phiếu hợp lệ:</t>
  </si>
  <si>
    <t>- Tổng số phiếu không hợp lệ:</t>
  </si>
  <si>
    <t>- Số lượng bầu:</t>
  </si>
  <si>
    <t>4 người</t>
  </si>
  <si>
    <t>🏆 KẾT QUẢ BẦU CỬ (Bầu 4 người):</t>
  </si>
  <si>
    <t>Phiếu được bầu</t>
  </si>
  <si>
    <t>Xếp hạng</t>
  </si>
  <si>
    <t>📌 HƯỚNG DẪN: Sửa số phiếu trực tiếp tại CỘT C (Số phiếu). Tất cả ô khác sẽ TỰ CẬP NHẬT.</t>
  </si>
  <si>
    <t>📌 Thay đổi ô "J2" (Phiếu phát ra) để cập nhật kết quả "Phiếu được bầu" cho tất cả UV.</t>
  </si>
  <si>
    <t>🔒 KẾT QUẢ BỊ KHOÁ cho đến khi: Tổng phiếu nhập (hợp lệ + không hợp lệ) = Phiếu phát ra. Khi khớp, kết quả tự động hiện ra.</t>
  </si>
  <si>
    <t>Phiếu thu vào</t>
  </si>
  <si>
    <t>số 1</t>
  </si>
  <si>
    <t>số 2</t>
  </si>
  <si>
    <t>số 3</t>
  </si>
  <si>
    <t>số 4</t>
  </si>
  <si>
    <t>số 5</t>
  </si>
  <si>
    <t>số 6</t>
  </si>
  <si>
    <t>số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</si>
</sst>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b/>
      <sz val="16"/>
      <name val="Times New Roman"/>
    </font>
    <font>
      <i/>
      <sz val="11"/>
      <color rgb="FF999999"/>
      <name val="Times New Roman"/>
    </font>
    <font>
      <b/>
      <sz val="14"/>
      <color rgb="FFC0392B"/>
      <name val="Times New Roman"/>
    </font>
    <font>
      <b/>
      <sz val="14"/>
      <color rgb="FFFFFFFF"/>
      <name val="Times New Roman"/>
    </font>
    <font>
      <sz val="14"/>
      <name val="Times New Roman"/>
    </font>
    <font>
      <b/>
      <sz val="14"/>
      <color rgb="FF2C3E50"/>
      <name val="Times New Roman"/>
    </font>
    <font>
      <sz val="14"/>
      <color rgb="FFC62828"/>
      <name val="Times New Roman"/>
    </font>
    <font>
      <b/>
      <sz val="14"/>
      <name val="Times New Roman"/>
    </font>
    <font>
      <b/>
      <sz val="16"/>
      <color rgb="FFC0392B"/>
      <name val="Times New Roman"/>
    </font>
    <font>
      <b/>
      <sz val="20"/>
      <color rgb="FFFFFFFF"/>
      <name val="Times New Roman"/>
    </font>
    <font>
      <b/>
      <sz val="15"/>
      <color rgb="FF2C3E50"/>
      <name val="Times New Roman"/>
    </font>
    <font>
      <b/>
      <sz val="15"/>
      <color rgb="FF27AE60"/>
      <name val="Times New Roman"/>
    </font>
    <font>
      <b/>
      <sz val="15"/>
      <color rgb="FFE74C3C"/>
      <name val="Times New Roman"/>
    </font>
    <font>
      <b/>
      <sz val="15"/>
      <name val="Times New Roman"/>
    </font>
    <font>
      <b/>
      <sz val="16"/>
      <color rgb="FFFFFFFF"/>
      <name val="Times New Roman"/>
    </font>
    <font>
      <b/>
      <sz val="14"/>
      <color rgb="FF145A32"/>
      <name val="Times New Roman"/>
    </font>
    <font>
      <b/>
      <sz val="18"/>
      <color rgb="FF145A32"/>
      <name val="Times New Roman"/>
    </font>
    <font>
      <b/>
      <sz val="16"/>
      <color rgb="FF145A32"/>
      <name val="Times New Roman"/>
    </font>
    <font>
      <b/>
      <i/>
      <sz val="12"/>
      <color rgb="FF2980B9"/>
      <name val="Times New Roman"/>
    </font>
    <font>
      <i/>
      <sz val="12"/>
      <color rgb="FF7F8C8D"/>
      <name val="Times New Roman"/>
    </font>
    <font>
      <b/>
      <i/>
      <sz val="12"/>
      <color rgb="FFE74C3C"/>
      <name val="Times New Roman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1BEE7"/>
      </patternFill>
    </fill>
    <fill>
      <patternFill patternType="solid">
        <fgColor rgb="FFFADBD8"/>
      </patternFill>
    </fill>
    <fill>
      <patternFill patternType="solid">
        <fgColor rgb="FFE8DAEF"/>
      </patternFill>
    </fill>
    <fill>
      <patternFill patternType="solid">
        <fgColor rgb="FF27AE60"/>
      </patternFill>
    </fill>
    <fill>
      <patternFill patternType="solid">
        <fgColor rgb="FF1A527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19" borderId="0" xfId="0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17" borderId="2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tabSelected="1" workbookViewId="0">
      <selection activeCell="F14" sqref="F14"/>
    </sheetView>
  </sheetViews>
  <sheetFormatPr defaultRowHeight="15" x14ac:dyDescent="0.25"/>
  <cols>
    <col min="1" max="1" width="8" customWidth="1"/>
    <col min="2" max="2" width="32" customWidth="1"/>
    <col min="3" max="3" width="16" customWidth="1"/>
    <col min="4" max="10" width="20" customWidth="1"/>
  </cols>
  <sheetData>
    <row r="1" spans="1:10" ht="20.2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8.75" x14ac:dyDescent="0.25">
      <c r="A2" s="37" t="s">
        <v>1</v>
      </c>
      <c r="B2" s="37"/>
      <c r="C2" s="37"/>
      <c r="D2" s="37"/>
      <c r="E2" s="37"/>
      <c r="F2" s="37"/>
      <c r="G2" s="37"/>
      <c r="H2" s="37"/>
      <c r="I2" s="35" t="s">
        <v>2</v>
      </c>
      <c r="J2" s="1">
        <v>99</v>
      </c>
    </row>
    <row r="3" spans="1:10" ht="18.75" x14ac:dyDescent="0.3">
      <c r="I3" s="33" t="s">
        <v>228</v>
      </c>
      <c r="J3" s="34">
        <f>SUM(C105+C104)</f>
        <v>99</v>
      </c>
    </row>
    <row r="4" spans="1:10" ht="25.35" customHeight="1" x14ac:dyDescent="0.25">
      <c r="A4" s="2" t="s">
        <v>3</v>
      </c>
      <c r="B4" s="38" t="s">
        <v>4</v>
      </c>
      <c r="C4" s="38"/>
      <c r="D4" s="2" t="s">
        <v>229</v>
      </c>
      <c r="E4" s="2" t="s">
        <v>230</v>
      </c>
      <c r="F4" s="2" t="s">
        <v>231</v>
      </c>
      <c r="G4" s="2" t="s">
        <v>232</v>
      </c>
      <c r="H4" s="2" t="s">
        <v>233</v>
      </c>
      <c r="I4" s="2" t="s">
        <v>234</v>
      </c>
      <c r="J4" s="2" t="s">
        <v>235</v>
      </c>
    </row>
    <row r="5" spans="1:10" ht="21.4" customHeight="1" x14ac:dyDescent="0.25">
      <c r="A5" s="3" t="s">
        <v>12</v>
      </c>
      <c r="B5" s="3" t="s">
        <v>13</v>
      </c>
      <c r="C5" s="3" t="s">
        <v>14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</row>
    <row r="6" spans="1:10" ht="18.75" x14ac:dyDescent="0.25">
      <c r="A6" s="4" t="s">
        <v>15</v>
      </c>
      <c r="B6" s="5" t="s">
        <v>16</v>
      </c>
      <c r="C6" s="6">
        <v>1</v>
      </c>
      <c r="D6" s="7">
        <f t="shared" ref="D6:D20" si="0">C6</f>
        <v>1</v>
      </c>
      <c r="E6" s="7">
        <f>C6</f>
        <v>1</v>
      </c>
      <c r="F6" s="7">
        <f>C6</f>
        <v>1</v>
      </c>
      <c r="G6" s="4" t="s">
        <v>3</v>
      </c>
      <c r="H6" s="4" t="s">
        <v>3</v>
      </c>
      <c r="I6" s="4" t="s">
        <v>3</v>
      </c>
      <c r="J6" s="4" t="s">
        <v>3</v>
      </c>
    </row>
    <row r="7" spans="1:10" ht="18.75" x14ac:dyDescent="0.25">
      <c r="A7" s="8" t="s">
        <v>17</v>
      </c>
      <c r="B7" s="9" t="s">
        <v>18</v>
      </c>
      <c r="C7" s="6">
        <v>1</v>
      </c>
      <c r="D7" s="7">
        <f t="shared" si="0"/>
        <v>1</v>
      </c>
      <c r="E7" s="7">
        <f>C7</f>
        <v>1</v>
      </c>
      <c r="F7" s="8" t="s">
        <v>3</v>
      </c>
      <c r="G7" s="7">
        <f>C7</f>
        <v>1</v>
      </c>
      <c r="H7" s="8" t="s">
        <v>3</v>
      </c>
      <c r="I7" s="8" t="s">
        <v>3</v>
      </c>
      <c r="J7" s="8" t="s">
        <v>3</v>
      </c>
    </row>
    <row r="8" spans="1:10" ht="18.75" x14ac:dyDescent="0.25">
      <c r="A8" s="4" t="s">
        <v>19</v>
      </c>
      <c r="B8" s="5" t="s">
        <v>20</v>
      </c>
      <c r="C8" s="6">
        <v>1</v>
      </c>
      <c r="D8" s="7">
        <f t="shared" si="0"/>
        <v>1</v>
      </c>
      <c r="E8" s="7">
        <f>C8</f>
        <v>1</v>
      </c>
      <c r="F8" s="4" t="s">
        <v>3</v>
      </c>
      <c r="G8" s="4" t="s">
        <v>3</v>
      </c>
      <c r="H8" s="7">
        <f>C8</f>
        <v>1</v>
      </c>
      <c r="I8" s="4" t="s">
        <v>3</v>
      </c>
      <c r="J8" s="4" t="s">
        <v>3</v>
      </c>
    </row>
    <row r="9" spans="1:10" ht="18.75" x14ac:dyDescent="0.25">
      <c r="A9" s="8" t="s">
        <v>21</v>
      </c>
      <c r="B9" s="9" t="s">
        <v>22</v>
      </c>
      <c r="C9" s="6">
        <v>1</v>
      </c>
      <c r="D9" s="7">
        <f t="shared" si="0"/>
        <v>1</v>
      </c>
      <c r="E9" s="7">
        <f>C9</f>
        <v>1</v>
      </c>
      <c r="F9" s="8" t="s">
        <v>3</v>
      </c>
      <c r="G9" s="8" t="s">
        <v>3</v>
      </c>
      <c r="H9" s="8" t="s">
        <v>3</v>
      </c>
      <c r="I9" s="7">
        <f>C9</f>
        <v>1</v>
      </c>
      <c r="J9" s="8" t="s">
        <v>3</v>
      </c>
    </row>
    <row r="10" spans="1:10" ht="18.75" x14ac:dyDescent="0.25">
      <c r="A10" s="4" t="s">
        <v>23</v>
      </c>
      <c r="B10" s="5" t="s">
        <v>24</v>
      </c>
      <c r="C10" s="6">
        <v>1</v>
      </c>
      <c r="D10" s="7">
        <f t="shared" si="0"/>
        <v>1</v>
      </c>
      <c r="E10" s="7">
        <f>C10</f>
        <v>1</v>
      </c>
      <c r="F10" s="4" t="s">
        <v>3</v>
      </c>
      <c r="G10" s="4" t="s">
        <v>3</v>
      </c>
      <c r="H10" s="4" t="s">
        <v>3</v>
      </c>
      <c r="I10" s="4" t="s">
        <v>3</v>
      </c>
      <c r="J10" s="7">
        <f>C10</f>
        <v>1</v>
      </c>
    </row>
    <row r="11" spans="1:10" ht="18.75" x14ac:dyDescent="0.25">
      <c r="A11" s="8" t="s">
        <v>25</v>
      </c>
      <c r="B11" s="9" t="s">
        <v>26</v>
      </c>
      <c r="C11" s="6">
        <v>1</v>
      </c>
      <c r="D11" s="7">
        <f t="shared" si="0"/>
        <v>1</v>
      </c>
      <c r="E11" s="8" t="s">
        <v>3</v>
      </c>
      <c r="F11" s="7">
        <f>C11</f>
        <v>1</v>
      </c>
      <c r="G11" s="7">
        <f>C11</f>
        <v>1</v>
      </c>
      <c r="H11" s="8" t="s">
        <v>3</v>
      </c>
      <c r="I11" s="8" t="s">
        <v>3</v>
      </c>
      <c r="J11" s="8" t="s">
        <v>3</v>
      </c>
    </row>
    <row r="12" spans="1:10" ht="18.75" x14ac:dyDescent="0.25">
      <c r="A12" s="4" t="s">
        <v>27</v>
      </c>
      <c r="B12" s="5" t="s">
        <v>28</v>
      </c>
      <c r="C12" s="6">
        <v>1</v>
      </c>
      <c r="D12" s="7">
        <f t="shared" si="0"/>
        <v>1</v>
      </c>
      <c r="E12" s="4" t="s">
        <v>3</v>
      </c>
      <c r="F12" s="7">
        <f>C12</f>
        <v>1</v>
      </c>
      <c r="G12" s="4" t="s">
        <v>3</v>
      </c>
      <c r="H12" s="7">
        <f>C12</f>
        <v>1</v>
      </c>
      <c r="I12" s="4" t="s">
        <v>3</v>
      </c>
      <c r="J12" s="4" t="s">
        <v>3</v>
      </c>
    </row>
    <row r="13" spans="1:10" ht="18.75" x14ac:dyDescent="0.25">
      <c r="A13" s="8" t="s">
        <v>29</v>
      </c>
      <c r="B13" s="9" t="s">
        <v>30</v>
      </c>
      <c r="C13" s="6">
        <v>1</v>
      </c>
      <c r="D13" s="7">
        <f t="shared" si="0"/>
        <v>1</v>
      </c>
      <c r="E13" s="8" t="s">
        <v>3</v>
      </c>
      <c r="F13" s="7">
        <f>C13</f>
        <v>1</v>
      </c>
      <c r="G13" s="8" t="s">
        <v>3</v>
      </c>
      <c r="H13" s="8" t="s">
        <v>3</v>
      </c>
      <c r="I13" s="7">
        <f>C13</f>
        <v>1</v>
      </c>
      <c r="J13" s="8" t="s">
        <v>3</v>
      </c>
    </row>
    <row r="14" spans="1:10" ht="18.75" x14ac:dyDescent="0.25">
      <c r="A14" s="4" t="s">
        <v>31</v>
      </c>
      <c r="B14" s="5" t="s">
        <v>32</v>
      </c>
      <c r="C14" s="6">
        <v>1</v>
      </c>
      <c r="D14" s="7">
        <f t="shared" si="0"/>
        <v>1</v>
      </c>
      <c r="E14" s="4" t="s">
        <v>3</v>
      </c>
      <c r="F14" s="7">
        <f>C14</f>
        <v>1</v>
      </c>
      <c r="G14" s="4" t="s">
        <v>3</v>
      </c>
      <c r="H14" s="4" t="s">
        <v>3</v>
      </c>
      <c r="I14" s="4" t="s">
        <v>3</v>
      </c>
      <c r="J14" s="7">
        <f>C14</f>
        <v>1</v>
      </c>
    </row>
    <row r="15" spans="1:10" ht="18.75" x14ac:dyDescent="0.25">
      <c r="A15" s="8" t="s">
        <v>33</v>
      </c>
      <c r="B15" s="9" t="s">
        <v>34</v>
      </c>
      <c r="C15" s="6">
        <v>1</v>
      </c>
      <c r="D15" s="7">
        <f t="shared" si="0"/>
        <v>1</v>
      </c>
      <c r="E15" s="8" t="s">
        <v>3</v>
      </c>
      <c r="F15" s="8" t="s">
        <v>3</v>
      </c>
      <c r="G15" s="7">
        <f>C15</f>
        <v>1</v>
      </c>
      <c r="H15" s="7">
        <f>C15</f>
        <v>1</v>
      </c>
      <c r="I15" s="8" t="s">
        <v>3</v>
      </c>
      <c r="J15" s="8" t="s">
        <v>3</v>
      </c>
    </row>
    <row r="16" spans="1:10" ht="18.75" x14ac:dyDescent="0.25">
      <c r="A16" s="4" t="s">
        <v>35</v>
      </c>
      <c r="B16" s="5" t="s">
        <v>36</v>
      </c>
      <c r="C16" s="6">
        <v>1</v>
      </c>
      <c r="D16" s="7">
        <f t="shared" si="0"/>
        <v>1</v>
      </c>
      <c r="E16" s="4" t="s">
        <v>3</v>
      </c>
      <c r="F16" s="4" t="s">
        <v>3</v>
      </c>
      <c r="G16" s="7">
        <f>C16</f>
        <v>1</v>
      </c>
      <c r="H16" s="4" t="s">
        <v>3</v>
      </c>
      <c r="I16" s="7">
        <f>C16</f>
        <v>1</v>
      </c>
      <c r="J16" s="4" t="s">
        <v>3</v>
      </c>
    </row>
    <row r="17" spans="1:10" ht="18.75" x14ac:dyDescent="0.25">
      <c r="A17" s="8" t="s">
        <v>37</v>
      </c>
      <c r="B17" s="9" t="s">
        <v>38</v>
      </c>
      <c r="C17" s="6">
        <v>1</v>
      </c>
      <c r="D17" s="7">
        <f t="shared" si="0"/>
        <v>1</v>
      </c>
      <c r="E17" s="8" t="s">
        <v>3</v>
      </c>
      <c r="F17" s="8" t="s">
        <v>3</v>
      </c>
      <c r="G17" s="7">
        <f>C17</f>
        <v>1</v>
      </c>
      <c r="H17" s="8" t="s">
        <v>3</v>
      </c>
      <c r="I17" s="8" t="s">
        <v>3</v>
      </c>
      <c r="J17" s="7">
        <f>C17</f>
        <v>1</v>
      </c>
    </row>
    <row r="18" spans="1:10" ht="18.75" x14ac:dyDescent="0.25">
      <c r="A18" s="4" t="s">
        <v>39</v>
      </c>
      <c r="B18" s="5" t="s">
        <v>40</v>
      </c>
      <c r="C18" s="6">
        <v>1</v>
      </c>
      <c r="D18" s="7">
        <f t="shared" si="0"/>
        <v>1</v>
      </c>
      <c r="E18" s="4" t="s">
        <v>3</v>
      </c>
      <c r="F18" s="4" t="s">
        <v>3</v>
      </c>
      <c r="G18" s="4" t="s">
        <v>3</v>
      </c>
      <c r="H18" s="7">
        <f>C18</f>
        <v>1</v>
      </c>
      <c r="I18" s="7">
        <f>C18</f>
        <v>1</v>
      </c>
      <c r="J18" s="4" t="s">
        <v>3</v>
      </c>
    </row>
    <row r="19" spans="1:10" ht="18.75" x14ac:dyDescent="0.25">
      <c r="A19" s="8" t="s">
        <v>41</v>
      </c>
      <c r="B19" s="9" t="s">
        <v>42</v>
      </c>
      <c r="C19" s="6">
        <v>1</v>
      </c>
      <c r="D19" s="7">
        <f t="shared" si="0"/>
        <v>1</v>
      </c>
      <c r="E19" s="8" t="s">
        <v>3</v>
      </c>
      <c r="F19" s="8" t="s">
        <v>3</v>
      </c>
      <c r="G19" s="8" t="s">
        <v>3</v>
      </c>
      <c r="H19" s="7">
        <f>C19</f>
        <v>1</v>
      </c>
      <c r="I19" s="8" t="s">
        <v>3</v>
      </c>
      <c r="J19" s="7">
        <f>C19</f>
        <v>1</v>
      </c>
    </row>
    <row r="20" spans="1:10" ht="18.75" x14ac:dyDescent="0.25">
      <c r="A20" s="4" t="s">
        <v>43</v>
      </c>
      <c r="B20" s="5" t="s">
        <v>44</v>
      </c>
      <c r="C20" s="6">
        <v>1</v>
      </c>
      <c r="D20" s="7">
        <f t="shared" si="0"/>
        <v>1</v>
      </c>
      <c r="E20" s="4" t="s">
        <v>3</v>
      </c>
      <c r="F20" s="4" t="s">
        <v>3</v>
      </c>
      <c r="G20" s="4" t="s">
        <v>3</v>
      </c>
      <c r="H20" s="4" t="s">
        <v>3</v>
      </c>
      <c r="I20" s="7">
        <f>C20</f>
        <v>1</v>
      </c>
      <c r="J20" s="7">
        <f>C20</f>
        <v>1</v>
      </c>
    </row>
    <row r="21" spans="1:10" ht="18.75" x14ac:dyDescent="0.25">
      <c r="A21" s="8" t="s">
        <v>45</v>
      </c>
      <c r="B21" s="9" t="s">
        <v>46</v>
      </c>
      <c r="C21" s="6">
        <v>1</v>
      </c>
      <c r="D21" s="8" t="s">
        <v>3</v>
      </c>
      <c r="E21" s="7">
        <f t="shared" ref="E21:E30" si="1">C21</f>
        <v>1</v>
      </c>
      <c r="F21" s="7">
        <f>C21</f>
        <v>1</v>
      </c>
      <c r="G21" s="7">
        <f>C21</f>
        <v>1</v>
      </c>
      <c r="H21" s="8" t="s">
        <v>3</v>
      </c>
      <c r="I21" s="8" t="s">
        <v>3</v>
      </c>
      <c r="J21" s="8" t="s">
        <v>3</v>
      </c>
    </row>
    <row r="22" spans="1:10" ht="18.75" x14ac:dyDescent="0.25">
      <c r="A22" s="4" t="s">
        <v>47</v>
      </c>
      <c r="B22" s="5" t="s">
        <v>48</v>
      </c>
      <c r="C22" s="6">
        <v>1</v>
      </c>
      <c r="D22" s="4" t="s">
        <v>3</v>
      </c>
      <c r="E22" s="7">
        <f t="shared" si="1"/>
        <v>1</v>
      </c>
      <c r="F22" s="7">
        <f>C22</f>
        <v>1</v>
      </c>
      <c r="G22" s="4" t="s">
        <v>3</v>
      </c>
      <c r="H22" s="7">
        <f>C22</f>
        <v>1</v>
      </c>
      <c r="I22" s="4" t="s">
        <v>3</v>
      </c>
      <c r="J22" s="4" t="s">
        <v>3</v>
      </c>
    </row>
    <row r="23" spans="1:10" ht="18.75" x14ac:dyDescent="0.25">
      <c r="A23" s="8" t="s">
        <v>49</v>
      </c>
      <c r="B23" s="9" t="s">
        <v>50</v>
      </c>
      <c r="C23" s="6">
        <v>1</v>
      </c>
      <c r="D23" s="8" t="s">
        <v>3</v>
      </c>
      <c r="E23" s="7">
        <f t="shared" si="1"/>
        <v>1</v>
      </c>
      <c r="F23" s="7">
        <f>C23</f>
        <v>1</v>
      </c>
      <c r="G23" s="8" t="s">
        <v>3</v>
      </c>
      <c r="H23" s="8" t="s">
        <v>3</v>
      </c>
      <c r="I23" s="7">
        <f>C23</f>
        <v>1</v>
      </c>
      <c r="J23" s="8" t="s">
        <v>3</v>
      </c>
    </row>
    <row r="24" spans="1:10" ht="18.75" x14ac:dyDescent="0.25">
      <c r="A24" s="4" t="s">
        <v>51</v>
      </c>
      <c r="B24" s="5" t="s">
        <v>52</v>
      </c>
      <c r="C24" s="6">
        <v>1</v>
      </c>
      <c r="D24" s="4" t="s">
        <v>3</v>
      </c>
      <c r="E24" s="7">
        <f t="shared" si="1"/>
        <v>1</v>
      </c>
      <c r="F24" s="7">
        <f>C24</f>
        <v>1</v>
      </c>
      <c r="G24" s="4" t="s">
        <v>3</v>
      </c>
      <c r="H24" s="4" t="s">
        <v>3</v>
      </c>
      <c r="I24" s="4" t="s">
        <v>3</v>
      </c>
      <c r="J24" s="7">
        <f>C24</f>
        <v>1</v>
      </c>
    </row>
    <row r="25" spans="1:10" ht="18.75" x14ac:dyDescent="0.25">
      <c r="A25" s="8" t="s">
        <v>53</v>
      </c>
      <c r="B25" s="9" t="s">
        <v>54</v>
      </c>
      <c r="C25" s="6">
        <v>1</v>
      </c>
      <c r="D25" s="8" t="s">
        <v>3</v>
      </c>
      <c r="E25" s="7">
        <f t="shared" si="1"/>
        <v>1</v>
      </c>
      <c r="F25" s="8" t="s">
        <v>3</v>
      </c>
      <c r="G25" s="7">
        <f>C25</f>
        <v>1</v>
      </c>
      <c r="H25" s="7">
        <f>C25</f>
        <v>1</v>
      </c>
      <c r="I25" s="8" t="s">
        <v>3</v>
      </c>
      <c r="J25" s="8" t="s">
        <v>3</v>
      </c>
    </row>
    <row r="26" spans="1:10" ht="18.75" x14ac:dyDescent="0.25">
      <c r="A26" s="4" t="s">
        <v>55</v>
      </c>
      <c r="B26" s="5" t="s">
        <v>56</v>
      </c>
      <c r="C26" s="6">
        <v>1</v>
      </c>
      <c r="D26" s="4" t="s">
        <v>3</v>
      </c>
      <c r="E26" s="7">
        <f t="shared" si="1"/>
        <v>1</v>
      </c>
      <c r="F26" s="4" t="s">
        <v>3</v>
      </c>
      <c r="G26" s="7">
        <f>C26</f>
        <v>1</v>
      </c>
      <c r="H26" s="4" t="s">
        <v>3</v>
      </c>
      <c r="I26" s="7">
        <f>C26</f>
        <v>1</v>
      </c>
      <c r="J26" s="4" t="s">
        <v>3</v>
      </c>
    </row>
    <row r="27" spans="1:10" ht="18.75" x14ac:dyDescent="0.25">
      <c r="A27" s="8" t="s">
        <v>57</v>
      </c>
      <c r="B27" s="9" t="s">
        <v>58</v>
      </c>
      <c r="C27" s="6">
        <v>1</v>
      </c>
      <c r="D27" s="8" t="s">
        <v>3</v>
      </c>
      <c r="E27" s="7">
        <f t="shared" si="1"/>
        <v>1</v>
      </c>
      <c r="F27" s="8" t="s">
        <v>3</v>
      </c>
      <c r="G27" s="7">
        <f>C27</f>
        <v>1</v>
      </c>
      <c r="H27" s="8" t="s">
        <v>3</v>
      </c>
      <c r="I27" s="8" t="s">
        <v>3</v>
      </c>
      <c r="J27" s="7">
        <f>C27</f>
        <v>1</v>
      </c>
    </row>
    <row r="28" spans="1:10" ht="18.75" x14ac:dyDescent="0.25">
      <c r="A28" s="4" t="s">
        <v>59</v>
      </c>
      <c r="B28" s="5" t="s">
        <v>60</v>
      </c>
      <c r="C28" s="6">
        <v>1</v>
      </c>
      <c r="D28" s="4" t="s">
        <v>3</v>
      </c>
      <c r="E28" s="7">
        <f t="shared" si="1"/>
        <v>1</v>
      </c>
      <c r="F28" s="4" t="s">
        <v>3</v>
      </c>
      <c r="G28" s="4" t="s">
        <v>3</v>
      </c>
      <c r="H28" s="7">
        <f>C28</f>
        <v>1</v>
      </c>
      <c r="I28" s="7">
        <f>C28</f>
        <v>1</v>
      </c>
      <c r="J28" s="4" t="s">
        <v>3</v>
      </c>
    </row>
    <row r="29" spans="1:10" ht="18.75" x14ac:dyDescent="0.25">
      <c r="A29" s="8" t="s">
        <v>61</v>
      </c>
      <c r="B29" s="9" t="s">
        <v>62</v>
      </c>
      <c r="C29" s="6">
        <v>1</v>
      </c>
      <c r="D29" s="8" t="s">
        <v>3</v>
      </c>
      <c r="E29" s="7">
        <f t="shared" si="1"/>
        <v>1</v>
      </c>
      <c r="F29" s="8" t="s">
        <v>3</v>
      </c>
      <c r="G29" s="8" t="s">
        <v>3</v>
      </c>
      <c r="H29" s="7">
        <f>C29</f>
        <v>1</v>
      </c>
      <c r="I29" s="8" t="s">
        <v>3</v>
      </c>
      <c r="J29" s="7">
        <f>C29</f>
        <v>1</v>
      </c>
    </row>
    <row r="30" spans="1:10" ht="18.75" x14ac:dyDescent="0.25">
      <c r="A30" s="4" t="s">
        <v>63</v>
      </c>
      <c r="B30" s="5" t="s">
        <v>64</v>
      </c>
      <c r="C30" s="6">
        <v>1</v>
      </c>
      <c r="D30" s="4" t="s">
        <v>3</v>
      </c>
      <c r="E30" s="7">
        <f t="shared" si="1"/>
        <v>1</v>
      </c>
      <c r="F30" s="4" t="s">
        <v>3</v>
      </c>
      <c r="G30" s="4" t="s">
        <v>3</v>
      </c>
      <c r="H30" s="4" t="s">
        <v>3</v>
      </c>
      <c r="I30" s="7">
        <f>C30</f>
        <v>1</v>
      </c>
      <c r="J30" s="7">
        <f>C30</f>
        <v>1</v>
      </c>
    </row>
    <row r="31" spans="1:10" ht="18.75" x14ac:dyDescent="0.25">
      <c r="A31" s="8" t="s">
        <v>65</v>
      </c>
      <c r="B31" s="9" t="s">
        <v>66</v>
      </c>
      <c r="C31" s="6">
        <v>1</v>
      </c>
      <c r="D31" s="8" t="s">
        <v>3</v>
      </c>
      <c r="E31" s="8" t="s">
        <v>3</v>
      </c>
      <c r="F31" s="7">
        <f t="shared" ref="F31:F36" si="2">C31</f>
        <v>1</v>
      </c>
      <c r="G31" s="7">
        <f>C31</f>
        <v>1</v>
      </c>
      <c r="H31" s="7">
        <f>C31</f>
        <v>1</v>
      </c>
      <c r="I31" s="8" t="s">
        <v>3</v>
      </c>
      <c r="J31" s="8" t="s">
        <v>3</v>
      </c>
    </row>
    <row r="32" spans="1:10" ht="18.75" x14ac:dyDescent="0.25">
      <c r="A32" s="4" t="s">
        <v>67</v>
      </c>
      <c r="B32" s="5" t="s">
        <v>68</v>
      </c>
      <c r="C32" s="6">
        <v>1</v>
      </c>
      <c r="D32" s="4" t="s">
        <v>3</v>
      </c>
      <c r="E32" s="4" t="s">
        <v>3</v>
      </c>
      <c r="F32" s="7">
        <f t="shared" si="2"/>
        <v>1</v>
      </c>
      <c r="G32" s="7">
        <f>C32</f>
        <v>1</v>
      </c>
      <c r="H32" s="4" t="s">
        <v>3</v>
      </c>
      <c r="I32" s="7">
        <f>C32</f>
        <v>1</v>
      </c>
      <c r="J32" s="4" t="s">
        <v>3</v>
      </c>
    </row>
    <row r="33" spans="1:10" ht="18.75" x14ac:dyDescent="0.25">
      <c r="A33" s="8" t="s">
        <v>69</v>
      </c>
      <c r="B33" s="9" t="s">
        <v>70</v>
      </c>
      <c r="C33" s="6">
        <v>1</v>
      </c>
      <c r="D33" s="8" t="s">
        <v>3</v>
      </c>
      <c r="E33" s="8" t="s">
        <v>3</v>
      </c>
      <c r="F33" s="7">
        <f t="shared" si="2"/>
        <v>1</v>
      </c>
      <c r="G33" s="7">
        <f>C33</f>
        <v>1</v>
      </c>
      <c r="H33" s="8" t="s">
        <v>3</v>
      </c>
      <c r="I33" s="8" t="s">
        <v>3</v>
      </c>
      <c r="J33" s="7">
        <f>C33</f>
        <v>1</v>
      </c>
    </row>
    <row r="34" spans="1:10" ht="18.75" x14ac:dyDescent="0.25">
      <c r="A34" s="4" t="s">
        <v>71</v>
      </c>
      <c r="B34" s="5" t="s">
        <v>72</v>
      </c>
      <c r="C34" s="6">
        <v>1</v>
      </c>
      <c r="D34" s="4" t="s">
        <v>3</v>
      </c>
      <c r="E34" s="4" t="s">
        <v>3</v>
      </c>
      <c r="F34" s="7">
        <f t="shared" si="2"/>
        <v>1</v>
      </c>
      <c r="G34" s="4" t="s">
        <v>3</v>
      </c>
      <c r="H34" s="7">
        <f>C34</f>
        <v>1</v>
      </c>
      <c r="I34" s="7">
        <f>C34</f>
        <v>1</v>
      </c>
      <c r="J34" s="4" t="s">
        <v>3</v>
      </c>
    </row>
    <row r="35" spans="1:10" ht="18.75" x14ac:dyDescent="0.25">
      <c r="A35" s="8" t="s">
        <v>73</v>
      </c>
      <c r="B35" s="9" t="s">
        <v>74</v>
      </c>
      <c r="C35" s="6">
        <v>1</v>
      </c>
      <c r="D35" s="8" t="s">
        <v>3</v>
      </c>
      <c r="E35" s="8" t="s">
        <v>3</v>
      </c>
      <c r="F35" s="7">
        <f t="shared" si="2"/>
        <v>1</v>
      </c>
      <c r="G35" s="8" t="s">
        <v>3</v>
      </c>
      <c r="H35" s="7">
        <f>C35</f>
        <v>1</v>
      </c>
      <c r="I35" s="8" t="s">
        <v>3</v>
      </c>
      <c r="J35" s="7">
        <f>C35</f>
        <v>1</v>
      </c>
    </row>
    <row r="36" spans="1:10" ht="18.75" x14ac:dyDescent="0.25">
      <c r="A36" s="4" t="s">
        <v>75</v>
      </c>
      <c r="B36" s="5" t="s">
        <v>76</v>
      </c>
      <c r="C36" s="6">
        <v>1</v>
      </c>
      <c r="D36" s="4" t="s">
        <v>3</v>
      </c>
      <c r="E36" s="4" t="s">
        <v>3</v>
      </c>
      <c r="F36" s="7">
        <f t="shared" si="2"/>
        <v>1</v>
      </c>
      <c r="G36" s="4" t="s">
        <v>3</v>
      </c>
      <c r="H36" s="4" t="s">
        <v>3</v>
      </c>
      <c r="I36" s="7">
        <f>C36</f>
        <v>1</v>
      </c>
      <c r="J36" s="7">
        <f>C36</f>
        <v>1</v>
      </c>
    </row>
    <row r="37" spans="1:10" ht="18.75" x14ac:dyDescent="0.25">
      <c r="A37" s="8" t="s">
        <v>77</v>
      </c>
      <c r="B37" s="9" t="s">
        <v>78</v>
      </c>
      <c r="C37" s="6">
        <v>1</v>
      </c>
      <c r="D37" s="8" t="s">
        <v>3</v>
      </c>
      <c r="E37" s="8" t="s">
        <v>3</v>
      </c>
      <c r="F37" s="8" t="s">
        <v>3</v>
      </c>
      <c r="G37" s="7">
        <f>C37</f>
        <v>1</v>
      </c>
      <c r="H37" s="7">
        <f>C37</f>
        <v>1</v>
      </c>
      <c r="I37" s="7">
        <f>C37</f>
        <v>1</v>
      </c>
      <c r="J37" s="8" t="s">
        <v>3</v>
      </c>
    </row>
    <row r="38" spans="1:10" ht="18.75" x14ac:dyDescent="0.25">
      <c r="A38" s="4" t="s">
        <v>79</v>
      </c>
      <c r="B38" s="5" t="s">
        <v>80</v>
      </c>
      <c r="C38" s="6">
        <v>1</v>
      </c>
      <c r="D38" s="4" t="s">
        <v>3</v>
      </c>
      <c r="E38" s="4" t="s">
        <v>3</v>
      </c>
      <c r="F38" s="4" t="s">
        <v>3</v>
      </c>
      <c r="G38" s="7">
        <f>C38</f>
        <v>1</v>
      </c>
      <c r="H38" s="7">
        <f>C38</f>
        <v>1</v>
      </c>
      <c r="I38" s="4" t="s">
        <v>3</v>
      </c>
      <c r="J38" s="7">
        <f>C38</f>
        <v>1</v>
      </c>
    </row>
    <row r="39" spans="1:10" ht="18.75" x14ac:dyDescent="0.25">
      <c r="A39" s="8" t="s">
        <v>81</v>
      </c>
      <c r="B39" s="9" t="s">
        <v>82</v>
      </c>
      <c r="C39" s="6">
        <v>1</v>
      </c>
      <c r="D39" s="8" t="s">
        <v>3</v>
      </c>
      <c r="E39" s="8" t="s">
        <v>3</v>
      </c>
      <c r="F39" s="8" t="s">
        <v>3</v>
      </c>
      <c r="G39" s="7">
        <f>C39</f>
        <v>1</v>
      </c>
      <c r="H39" s="8" t="s">
        <v>3</v>
      </c>
      <c r="I39" s="7">
        <f>C39</f>
        <v>1</v>
      </c>
      <c r="J39" s="7">
        <f>C39</f>
        <v>1</v>
      </c>
    </row>
    <row r="40" spans="1:10" ht="18.75" x14ac:dyDescent="0.25">
      <c r="A40" s="4" t="s">
        <v>83</v>
      </c>
      <c r="B40" s="5" t="s">
        <v>84</v>
      </c>
      <c r="C40" s="6">
        <v>1</v>
      </c>
      <c r="D40" s="4" t="s">
        <v>3</v>
      </c>
      <c r="E40" s="4" t="s">
        <v>3</v>
      </c>
      <c r="F40" s="4" t="s">
        <v>3</v>
      </c>
      <c r="G40" s="4" t="s">
        <v>3</v>
      </c>
      <c r="H40" s="7">
        <f>C40</f>
        <v>1</v>
      </c>
      <c r="I40" s="7">
        <f>C40</f>
        <v>1</v>
      </c>
      <c r="J40" s="7">
        <f>C40</f>
        <v>1</v>
      </c>
    </row>
    <row r="41" spans="1:10" ht="18.75" x14ac:dyDescent="0.25">
      <c r="A41" s="10" t="s">
        <v>85</v>
      </c>
      <c r="B41" s="11" t="s">
        <v>86</v>
      </c>
      <c r="C41" s="6">
        <v>1</v>
      </c>
      <c r="D41" s="7">
        <f t="shared" ref="D41:D60" si="3">C41</f>
        <v>1</v>
      </c>
      <c r="E41" s="7">
        <f t="shared" ref="E41:E50" si="4">C41</f>
        <v>1</v>
      </c>
      <c r="F41" s="7">
        <f>C41</f>
        <v>1</v>
      </c>
      <c r="G41" s="7">
        <f>C41</f>
        <v>1</v>
      </c>
      <c r="H41" s="10" t="s">
        <v>3</v>
      </c>
      <c r="I41" s="10" t="s">
        <v>3</v>
      </c>
      <c r="J41" s="10" t="s">
        <v>3</v>
      </c>
    </row>
    <row r="42" spans="1:10" ht="18.75" x14ac:dyDescent="0.25">
      <c r="A42" s="12" t="s">
        <v>87</v>
      </c>
      <c r="B42" s="13" t="s">
        <v>88</v>
      </c>
      <c r="C42" s="6">
        <v>1</v>
      </c>
      <c r="D42" s="7">
        <f t="shared" si="3"/>
        <v>1</v>
      </c>
      <c r="E42" s="7">
        <f t="shared" si="4"/>
        <v>1</v>
      </c>
      <c r="F42" s="7">
        <f>C42</f>
        <v>1</v>
      </c>
      <c r="G42" s="12" t="s">
        <v>3</v>
      </c>
      <c r="H42" s="7">
        <f>C42</f>
        <v>1</v>
      </c>
      <c r="I42" s="12" t="s">
        <v>3</v>
      </c>
      <c r="J42" s="12" t="s">
        <v>3</v>
      </c>
    </row>
    <row r="43" spans="1:10" ht="18.75" x14ac:dyDescent="0.25">
      <c r="A43" s="10" t="s">
        <v>89</v>
      </c>
      <c r="B43" s="11" t="s">
        <v>90</v>
      </c>
      <c r="C43" s="6">
        <v>1</v>
      </c>
      <c r="D43" s="7">
        <f t="shared" si="3"/>
        <v>1</v>
      </c>
      <c r="E43" s="7">
        <f t="shared" si="4"/>
        <v>1</v>
      </c>
      <c r="F43" s="7">
        <f>C43</f>
        <v>1</v>
      </c>
      <c r="G43" s="10" t="s">
        <v>3</v>
      </c>
      <c r="H43" s="10" t="s">
        <v>3</v>
      </c>
      <c r="I43" s="7">
        <f>C43</f>
        <v>1</v>
      </c>
      <c r="J43" s="10" t="s">
        <v>3</v>
      </c>
    </row>
    <row r="44" spans="1:10" ht="18.75" x14ac:dyDescent="0.25">
      <c r="A44" s="12" t="s">
        <v>91</v>
      </c>
      <c r="B44" s="13" t="s">
        <v>92</v>
      </c>
      <c r="C44" s="6">
        <v>1</v>
      </c>
      <c r="D44" s="7">
        <f t="shared" si="3"/>
        <v>1</v>
      </c>
      <c r="E44" s="7">
        <f t="shared" si="4"/>
        <v>1</v>
      </c>
      <c r="F44" s="7">
        <f>C44</f>
        <v>1</v>
      </c>
      <c r="G44" s="12" t="s">
        <v>3</v>
      </c>
      <c r="H44" s="12" t="s">
        <v>3</v>
      </c>
      <c r="I44" s="12" t="s">
        <v>3</v>
      </c>
      <c r="J44" s="7">
        <f>C44</f>
        <v>1</v>
      </c>
    </row>
    <row r="45" spans="1:10" ht="18.75" x14ac:dyDescent="0.25">
      <c r="A45" s="10" t="s">
        <v>93</v>
      </c>
      <c r="B45" s="11" t="s">
        <v>94</v>
      </c>
      <c r="C45" s="6">
        <v>1</v>
      </c>
      <c r="D45" s="7">
        <f t="shared" si="3"/>
        <v>1</v>
      </c>
      <c r="E45" s="7">
        <f t="shared" si="4"/>
        <v>1</v>
      </c>
      <c r="F45" s="10" t="s">
        <v>3</v>
      </c>
      <c r="G45" s="7">
        <f>C45</f>
        <v>1</v>
      </c>
      <c r="H45" s="7">
        <f>C45</f>
        <v>1</v>
      </c>
      <c r="I45" s="10" t="s">
        <v>3</v>
      </c>
      <c r="J45" s="10" t="s">
        <v>3</v>
      </c>
    </row>
    <row r="46" spans="1:10" ht="18.75" x14ac:dyDescent="0.25">
      <c r="A46" s="12" t="s">
        <v>95</v>
      </c>
      <c r="B46" s="13" t="s">
        <v>96</v>
      </c>
      <c r="C46" s="6">
        <v>1</v>
      </c>
      <c r="D46" s="7">
        <f t="shared" si="3"/>
        <v>1</v>
      </c>
      <c r="E46" s="7">
        <f t="shared" si="4"/>
        <v>1</v>
      </c>
      <c r="F46" s="12" t="s">
        <v>3</v>
      </c>
      <c r="G46" s="7">
        <f>C46</f>
        <v>1</v>
      </c>
      <c r="H46" s="12" t="s">
        <v>3</v>
      </c>
      <c r="I46" s="7">
        <f>C46</f>
        <v>1</v>
      </c>
      <c r="J46" s="12" t="s">
        <v>3</v>
      </c>
    </row>
    <row r="47" spans="1:10" ht="18.75" x14ac:dyDescent="0.25">
      <c r="A47" s="10" t="s">
        <v>97</v>
      </c>
      <c r="B47" s="11" t="s">
        <v>98</v>
      </c>
      <c r="C47" s="6">
        <v>1</v>
      </c>
      <c r="D47" s="7">
        <f t="shared" si="3"/>
        <v>1</v>
      </c>
      <c r="E47" s="7">
        <f t="shared" si="4"/>
        <v>1</v>
      </c>
      <c r="F47" s="10" t="s">
        <v>3</v>
      </c>
      <c r="G47" s="7">
        <f>C47</f>
        <v>1</v>
      </c>
      <c r="H47" s="10" t="s">
        <v>3</v>
      </c>
      <c r="I47" s="10" t="s">
        <v>3</v>
      </c>
      <c r="J47" s="7">
        <f>C47</f>
        <v>1</v>
      </c>
    </row>
    <row r="48" spans="1:10" ht="18.75" x14ac:dyDescent="0.25">
      <c r="A48" s="12" t="s">
        <v>99</v>
      </c>
      <c r="B48" s="13" t="s">
        <v>100</v>
      </c>
      <c r="C48" s="6">
        <v>1</v>
      </c>
      <c r="D48" s="7">
        <f t="shared" si="3"/>
        <v>1</v>
      </c>
      <c r="E48" s="7">
        <f t="shared" si="4"/>
        <v>1</v>
      </c>
      <c r="F48" s="12" t="s">
        <v>3</v>
      </c>
      <c r="G48" s="12" t="s">
        <v>3</v>
      </c>
      <c r="H48" s="7">
        <f>C48</f>
        <v>1</v>
      </c>
      <c r="I48" s="7">
        <f>C48</f>
        <v>1</v>
      </c>
      <c r="J48" s="12" t="s">
        <v>3</v>
      </c>
    </row>
    <row r="49" spans="1:10" ht="18.75" x14ac:dyDescent="0.25">
      <c r="A49" s="10" t="s">
        <v>101</v>
      </c>
      <c r="B49" s="11" t="s">
        <v>102</v>
      </c>
      <c r="C49" s="6">
        <v>1</v>
      </c>
      <c r="D49" s="7">
        <f t="shared" si="3"/>
        <v>1</v>
      </c>
      <c r="E49" s="7">
        <f t="shared" si="4"/>
        <v>1</v>
      </c>
      <c r="F49" s="10" t="s">
        <v>3</v>
      </c>
      <c r="G49" s="10" t="s">
        <v>3</v>
      </c>
      <c r="H49" s="7">
        <f>C49</f>
        <v>1</v>
      </c>
      <c r="I49" s="10" t="s">
        <v>3</v>
      </c>
      <c r="J49" s="7">
        <f>C49</f>
        <v>1</v>
      </c>
    </row>
    <row r="50" spans="1:10" ht="18.75" x14ac:dyDescent="0.25">
      <c r="A50" s="12" t="s">
        <v>103</v>
      </c>
      <c r="B50" s="13" t="s">
        <v>104</v>
      </c>
      <c r="C50" s="6">
        <v>1</v>
      </c>
      <c r="D50" s="7">
        <f t="shared" si="3"/>
        <v>1</v>
      </c>
      <c r="E50" s="7">
        <f t="shared" si="4"/>
        <v>1</v>
      </c>
      <c r="F50" s="12" t="s">
        <v>3</v>
      </c>
      <c r="G50" s="12" t="s">
        <v>3</v>
      </c>
      <c r="H50" s="12" t="s">
        <v>3</v>
      </c>
      <c r="I50" s="7">
        <f>C50</f>
        <v>1</v>
      </c>
      <c r="J50" s="7">
        <f>C50</f>
        <v>1</v>
      </c>
    </row>
    <row r="51" spans="1:10" ht="18.75" x14ac:dyDescent="0.25">
      <c r="A51" s="10" t="s">
        <v>105</v>
      </c>
      <c r="B51" s="11" t="s">
        <v>106</v>
      </c>
      <c r="C51" s="6">
        <v>1</v>
      </c>
      <c r="D51" s="7">
        <f t="shared" si="3"/>
        <v>1</v>
      </c>
      <c r="E51" s="10" t="s">
        <v>3</v>
      </c>
      <c r="F51" s="7">
        <f t="shared" ref="F51:F56" si="5">C51</f>
        <v>1</v>
      </c>
      <c r="G51" s="7">
        <f>C51</f>
        <v>1</v>
      </c>
      <c r="H51" s="7">
        <f>C51</f>
        <v>1</v>
      </c>
      <c r="I51" s="10" t="s">
        <v>3</v>
      </c>
      <c r="J51" s="10" t="s">
        <v>3</v>
      </c>
    </row>
    <row r="52" spans="1:10" ht="18.75" x14ac:dyDescent="0.25">
      <c r="A52" s="12" t="s">
        <v>107</v>
      </c>
      <c r="B52" s="13" t="s">
        <v>108</v>
      </c>
      <c r="C52" s="6">
        <v>1</v>
      </c>
      <c r="D52" s="7">
        <f t="shared" si="3"/>
        <v>1</v>
      </c>
      <c r="E52" s="12" t="s">
        <v>3</v>
      </c>
      <c r="F52" s="7">
        <f t="shared" si="5"/>
        <v>1</v>
      </c>
      <c r="G52" s="7">
        <f>C52</f>
        <v>1</v>
      </c>
      <c r="H52" s="12" t="s">
        <v>3</v>
      </c>
      <c r="I52" s="7">
        <f>C52</f>
        <v>1</v>
      </c>
      <c r="J52" s="12" t="s">
        <v>3</v>
      </c>
    </row>
    <row r="53" spans="1:10" ht="18.75" x14ac:dyDescent="0.25">
      <c r="A53" s="10" t="s">
        <v>109</v>
      </c>
      <c r="B53" s="11" t="s">
        <v>110</v>
      </c>
      <c r="C53" s="6">
        <v>1</v>
      </c>
      <c r="D53" s="7">
        <f t="shared" si="3"/>
        <v>1</v>
      </c>
      <c r="E53" s="10" t="s">
        <v>3</v>
      </c>
      <c r="F53" s="7">
        <f t="shared" si="5"/>
        <v>1</v>
      </c>
      <c r="G53" s="7">
        <f>C53</f>
        <v>1</v>
      </c>
      <c r="H53" s="10" t="s">
        <v>3</v>
      </c>
      <c r="I53" s="10" t="s">
        <v>3</v>
      </c>
      <c r="J53" s="7">
        <f>C53</f>
        <v>1</v>
      </c>
    </row>
    <row r="54" spans="1:10" ht="18.75" x14ac:dyDescent="0.25">
      <c r="A54" s="12" t="s">
        <v>111</v>
      </c>
      <c r="B54" s="13" t="s">
        <v>112</v>
      </c>
      <c r="C54" s="6">
        <v>1</v>
      </c>
      <c r="D54" s="7">
        <f t="shared" si="3"/>
        <v>1</v>
      </c>
      <c r="E54" s="12" t="s">
        <v>3</v>
      </c>
      <c r="F54" s="7">
        <f t="shared" si="5"/>
        <v>1</v>
      </c>
      <c r="G54" s="12" t="s">
        <v>3</v>
      </c>
      <c r="H54" s="7">
        <f>C54</f>
        <v>1</v>
      </c>
      <c r="I54" s="7">
        <f>C54</f>
        <v>1</v>
      </c>
      <c r="J54" s="12" t="s">
        <v>3</v>
      </c>
    </row>
    <row r="55" spans="1:10" ht="18.75" x14ac:dyDescent="0.25">
      <c r="A55" s="10" t="s">
        <v>113</v>
      </c>
      <c r="B55" s="11" t="s">
        <v>114</v>
      </c>
      <c r="C55" s="6">
        <v>1</v>
      </c>
      <c r="D55" s="7">
        <f t="shared" si="3"/>
        <v>1</v>
      </c>
      <c r="E55" s="10" t="s">
        <v>3</v>
      </c>
      <c r="F55" s="7">
        <f t="shared" si="5"/>
        <v>1</v>
      </c>
      <c r="G55" s="10" t="s">
        <v>3</v>
      </c>
      <c r="H55" s="7">
        <f>C55</f>
        <v>1</v>
      </c>
      <c r="I55" s="10" t="s">
        <v>3</v>
      </c>
      <c r="J55" s="7">
        <f>C55</f>
        <v>1</v>
      </c>
    </row>
    <row r="56" spans="1:10" ht="18.75" x14ac:dyDescent="0.25">
      <c r="A56" s="12" t="s">
        <v>115</v>
      </c>
      <c r="B56" s="13" t="s">
        <v>116</v>
      </c>
      <c r="C56" s="6">
        <v>1</v>
      </c>
      <c r="D56" s="7">
        <f t="shared" si="3"/>
        <v>1</v>
      </c>
      <c r="E56" s="12" t="s">
        <v>3</v>
      </c>
      <c r="F56" s="7">
        <f t="shared" si="5"/>
        <v>1</v>
      </c>
      <c r="G56" s="12" t="s">
        <v>3</v>
      </c>
      <c r="H56" s="12" t="s">
        <v>3</v>
      </c>
      <c r="I56" s="7">
        <f>C56</f>
        <v>1</v>
      </c>
      <c r="J56" s="7">
        <f>C56</f>
        <v>1</v>
      </c>
    </row>
    <row r="57" spans="1:10" ht="18.75" x14ac:dyDescent="0.25">
      <c r="A57" s="10" t="s">
        <v>117</v>
      </c>
      <c r="B57" s="11" t="s">
        <v>118</v>
      </c>
      <c r="C57" s="6">
        <v>1</v>
      </c>
      <c r="D57" s="7">
        <f t="shared" si="3"/>
        <v>1</v>
      </c>
      <c r="E57" s="10" t="s">
        <v>3</v>
      </c>
      <c r="F57" s="10" t="s">
        <v>3</v>
      </c>
      <c r="G57" s="7">
        <f>C57</f>
        <v>1</v>
      </c>
      <c r="H57" s="7">
        <f>C57</f>
        <v>1</v>
      </c>
      <c r="I57" s="7">
        <f>C57</f>
        <v>1</v>
      </c>
      <c r="J57" s="10" t="s">
        <v>3</v>
      </c>
    </row>
    <row r="58" spans="1:10" ht="18.75" x14ac:dyDescent="0.25">
      <c r="A58" s="12" t="s">
        <v>119</v>
      </c>
      <c r="B58" s="13" t="s">
        <v>120</v>
      </c>
      <c r="C58" s="6">
        <v>1</v>
      </c>
      <c r="D58" s="7">
        <f t="shared" si="3"/>
        <v>1</v>
      </c>
      <c r="E58" s="12" t="s">
        <v>3</v>
      </c>
      <c r="F58" s="12" t="s">
        <v>3</v>
      </c>
      <c r="G58" s="7">
        <f>C58</f>
        <v>1</v>
      </c>
      <c r="H58" s="7">
        <f>C58</f>
        <v>1</v>
      </c>
      <c r="I58" s="12" t="s">
        <v>3</v>
      </c>
      <c r="J58" s="7">
        <f>C58</f>
        <v>1</v>
      </c>
    </row>
    <row r="59" spans="1:10" ht="18.75" x14ac:dyDescent="0.25">
      <c r="A59" s="10" t="s">
        <v>121</v>
      </c>
      <c r="B59" s="11" t="s">
        <v>122</v>
      </c>
      <c r="C59" s="6">
        <v>1</v>
      </c>
      <c r="D59" s="7">
        <f t="shared" si="3"/>
        <v>1</v>
      </c>
      <c r="E59" s="10" t="s">
        <v>3</v>
      </c>
      <c r="F59" s="10" t="s">
        <v>3</v>
      </c>
      <c r="G59" s="7">
        <f>C59</f>
        <v>1</v>
      </c>
      <c r="H59" s="10" t="s">
        <v>3</v>
      </c>
      <c r="I59" s="7">
        <f>C59</f>
        <v>1</v>
      </c>
      <c r="J59" s="7">
        <f>C59</f>
        <v>1</v>
      </c>
    </row>
    <row r="60" spans="1:10" ht="18.75" x14ac:dyDescent="0.25">
      <c r="A60" s="12" t="s">
        <v>123</v>
      </c>
      <c r="B60" s="13" t="s">
        <v>124</v>
      </c>
      <c r="C60" s="6">
        <v>1</v>
      </c>
      <c r="D60" s="7">
        <f t="shared" si="3"/>
        <v>1</v>
      </c>
      <c r="E60" s="12" t="s">
        <v>3</v>
      </c>
      <c r="F60" s="12" t="s">
        <v>3</v>
      </c>
      <c r="G60" s="12" t="s">
        <v>3</v>
      </c>
      <c r="H60" s="7">
        <f>C60</f>
        <v>1</v>
      </c>
      <c r="I60" s="7">
        <f>C60</f>
        <v>1</v>
      </c>
      <c r="J60" s="7">
        <f>C60</f>
        <v>1</v>
      </c>
    </row>
    <row r="61" spans="1:10" ht="18.75" x14ac:dyDescent="0.25">
      <c r="A61" s="10" t="s">
        <v>125</v>
      </c>
      <c r="B61" s="11" t="s">
        <v>126</v>
      </c>
      <c r="C61" s="6">
        <v>1</v>
      </c>
      <c r="D61" s="10" t="s">
        <v>3</v>
      </c>
      <c r="E61" s="7">
        <f t="shared" ref="E61:E70" si="6">C61</f>
        <v>1</v>
      </c>
      <c r="F61" s="7">
        <f t="shared" ref="F61:F66" si="7">C61</f>
        <v>1</v>
      </c>
      <c r="G61" s="7">
        <f>C61</f>
        <v>1</v>
      </c>
      <c r="H61" s="7">
        <f>C61</f>
        <v>1</v>
      </c>
      <c r="I61" s="10" t="s">
        <v>3</v>
      </c>
      <c r="J61" s="10" t="s">
        <v>3</v>
      </c>
    </row>
    <row r="62" spans="1:10" ht="18.75" x14ac:dyDescent="0.25">
      <c r="A62" s="12" t="s">
        <v>127</v>
      </c>
      <c r="B62" s="13" t="s">
        <v>128</v>
      </c>
      <c r="C62" s="6">
        <v>1</v>
      </c>
      <c r="D62" s="12" t="s">
        <v>3</v>
      </c>
      <c r="E62" s="7">
        <f t="shared" si="6"/>
        <v>1</v>
      </c>
      <c r="F62" s="7">
        <f t="shared" si="7"/>
        <v>1</v>
      </c>
      <c r="G62" s="7">
        <f>C62</f>
        <v>1</v>
      </c>
      <c r="H62" s="12" t="s">
        <v>3</v>
      </c>
      <c r="I62" s="7">
        <f>C62</f>
        <v>1</v>
      </c>
      <c r="J62" s="12" t="s">
        <v>3</v>
      </c>
    </row>
    <row r="63" spans="1:10" ht="18.75" x14ac:dyDescent="0.25">
      <c r="A63" s="10" t="s">
        <v>129</v>
      </c>
      <c r="B63" s="11" t="s">
        <v>130</v>
      </c>
      <c r="C63" s="6">
        <v>1</v>
      </c>
      <c r="D63" s="10" t="s">
        <v>3</v>
      </c>
      <c r="E63" s="7">
        <f t="shared" si="6"/>
        <v>1</v>
      </c>
      <c r="F63" s="7">
        <f t="shared" si="7"/>
        <v>1</v>
      </c>
      <c r="G63" s="7">
        <f>C63</f>
        <v>1</v>
      </c>
      <c r="H63" s="10" t="s">
        <v>3</v>
      </c>
      <c r="I63" s="10" t="s">
        <v>3</v>
      </c>
      <c r="J63" s="7">
        <f>C63</f>
        <v>1</v>
      </c>
    </row>
    <row r="64" spans="1:10" ht="18.75" x14ac:dyDescent="0.25">
      <c r="A64" s="12" t="s">
        <v>131</v>
      </c>
      <c r="B64" s="13" t="s">
        <v>132</v>
      </c>
      <c r="C64" s="6">
        <v>1</v>
      </c>
      <c r="D64" s="12" t="s">
        <v>3</v>
      </c>
      <c r="E64" s="7">
        <f t="shared" si="6"/>
        <v>1</v>
      </c>
      <c r="F64" s="7">
        <f t="shared" si="7"/>
        <v>1</v>
      </c>
      <c r="G64" s="12" t="s">
        <v>3</v>
      </c>
      <c r="H64" s="7">
        <f>C64</f>
        <v>1</v>
      </c>
      <c r="I64" s="7">
        <f>C64</f>
        <v>1</v>
      </c>
      <c r="J64" s="12" t="s">
        <v>3</v>
      </c>
    </row>
    <row r="65" spans="1:10" ht="18.75" x14ac:dyDescent="0.25">
      <c r="A65" s="10" t="s">
        <v>133</v>
      </c>
      <c r="B65" s="11" t="s">
        <v>134</v>
      </c>
      <c r="C65" s="6">
        <v>1</v>
      </c>
      <c r="D65" s="10" t="s">
        <v>3</v>
      </c>
      <c r="E65" s="7">
        <f t="shared" si="6"/>
        <v>1</v>
      </c>
      <c r="F65" s="7">
        <f t="shared" si="7"/>
        <v>1</v>
      </c>
      <c r="G65" s="10" t="s">
        <v>3</v>
      </c>
      <c r="H65" s="7">
        <f>C65</f>
        <v>1</v>
      </c>
      <c r="I65" s="10" t="s">
        <v>3</v>
      </c>
      <c r="J65" s="7">
        <f>C65</f>
        <v>1</v>
      </c>
    </row>
    <row r="66" spans="1:10" ht="18.75" x14ac:dyDescent="0.25">
      <c r="A66" s="12" t="s">
        <v>135</v>
      </c>
      <c r="B66" s="13" t="s">
        <v>136</v>
      </c>
      <c r="C66" s="6">
        <v>1</v>
      </c>
      <c r="D66" s="12" t="s">
        <v>3</v>
      </c>
      <c r="E66" s="7">
        <f t="shared" si="6"/>
        <v>1</v>
      </c>
      <c r="F66" s="7">
        <f t="shared" si="7"/>
        <v>1</v>
      </c>
      <c r="G66" s="12" t="s">
        <v>3</v>
      </c>
      <c r="H66" s="12" t="s">
        <v>3</v>
      </c>
      <c r="I66" s="7">
        <f>C66</f>
        <v>1</v>
      </c>
      <c r="J66" s="7">
        <f>C66</f>
        <v>1</v>
      </c>
    </row>
    <row r="67" spans="1:10" ht="18.75" x14ac:dyDescent="0.25">
      <c r="A67" s="10" t="s">
        <v>137</v>
      </c>
      <c r="B67" s="11" t="s">
        <v>138</v>
      </c>
      <c r="C67" s="6">
        <v>1</v>
      </c>
      <c r="D67" s="10" t="s">
        <v>3</v>
      </c>
      <c r="E67" s="7">
        <f t="shared" si="6"/>
        <v>1</v>
      </c>
      <c r="F67" s="10" t="s">
        <v>3</v>
      </c>
      <c r="G67" s="7">
        <f>C67</f>
        <v>1</v>
      </c>
      <c r="H67" s="7">
        <f>C67</f>
        <v>1</v>
      </c>
      <c r="I67" s="7">
        <f>C67</f>
        <v>1</v>
      </c>
      <c r="J67" s="10" t="s">
        <v>3</v>
      </c>
    </row>
    <row r="68" spans="1:10" ht="18.75" x14ac:dyDescent="0.25">
      <c r="A68" s="12" t="s">
        <v>139</v>
      </c>
      <c r="B68" s="13" t="s">
        <v>140</v>
      </c>
      <c r="C68" s="6">
        <v>1</v>
      </c>
      <c r="D68" s="12" t="s">
        <v>3</v>
      </c>
      <c r="E68" s="7">
        <f t="shared" si="6"/>
        <v>1</v>
      </c>
      <c r="F68" s="12" t="s">
        <v>3</v>
      </c>
      <c r="G68" s="7">
        <f>C68</f>
        <v>1</v>
      </c>
      <c r="H68" s="7">
        <f>C68</f>
        <v>1</v>
      </c>
      <c r="I68" s="12" t="s">
        <v>3</v>
      </c>
      <c r="J68" s="7">
        <f>C68</f>
        <v>1</v>
      </c>
    </row>
    <row r="69" spans="1:10" ht="18.75" x14ac:dyDescent="0.25">
      <c r="A69" s="10" t="s">
        <v>141</v>
      </c>
      <c r="B69" s="11" t="s">
        <v>142</v>
      </c>
      <c r="C69" s="6">
        <v>1</v>
      </c>
      <c r="D69" s="10" t="s">
        <v>3</v>
      </c>
      <c r="E69" s="7">
        <f t="shared" si="6"/>
        <v>1</v>
      </c>
      <c r="F69" s="10" t="s">
        <v>3</v>
      </c>
      <c r="G69" s="7">
        <f>C69</f>
        <v>1</v>
      </c>
      <c r="H69" s="10" t="s">
        <v>3</v>
      </c>
      <c r="I69" s="7">
        <f>C69</f>
        <v>1</v>
      </c>
      <c r="J69" s="7">
        <f>C69</f>
        <v>1</v>
      </c>
    </row>
    <row r="70" spans="1:10" ht="18.75" x14ac:dyDescent="0.25">
      <c r="A70" s="12" t="s">
        <v>143</v>
      </c>
      <c r="B70" s="13" t="s">
        <v>144</v>
      </c>
      <c r="C70" s="6">
        <v>1</v>
      </c>
      <c r="D70" s="12" t="s">
        <v>3</v>
      </c>
      <c r="E70" s="7">
        <f t="shared" si="6"/>
        <v>1</v>
      </c>
      <c r="F70" s="12" t="s">
        <v>3</v>
      </c>
      <c r="G70" s="12" t="s">
        <v>3</v>
      </c>
      <c r="H70" s="7">
        <f>C70</f>
        <v>1</v>
      </c>
      <c r="I70" s="7">
        <f>C70</f>
        <v>1</v>
      </c>
      <c r="J70" s="7">
        <f>C70</f>
        <v>1</v>
      </c>
    </row>
    <row r="71" spans="1:10" ht="18.75" x14ac:dyDescent="0.25">
      <c r="A71" s="10" t="s">
        <v>145</v>
      </c>
      <c r="B71" s="11" t="s">
        <v>146</v>
      </c>
      <c r="C71" s="6">
        <v>1</v>
      </c>
      <c r="D71" s="10" t="s">
        <v>3</v>
      </c>
      <c r="E71" s="10" t="s">
        <v>3</v>
      </c>
      <c r="F71" s="7">
        <f>C71</f>
        <v>1</v>
      </c>
      <c r="G71" s="7">
        <f>C71</f>
        <v>1</v>
      </c>
      <c r="H71" s="7">
        <f>C71</f>
        <v>1</v>
      </c>
      <c r="I71" s="7">
        <f>C71</f>
        <v>1</v>
      </c>
      <c r="J71" s="10" t="s">
        <v>3</v>
      </c>
    </row>
    <row r="72" spans="1:10" ht="18.75" x14ac:dyDescent="0.25">
      <c r="A72" s="12" t="s">
        <v>147</v>
      </c>
      <c r="B72" s="13" t="s">
        <v>148</v>
      </c>
      <c r="C72" s="6">
        <v>1</v>
      </c>
      <c r="D72" s="12" t="s">
        <v>3</v>
      </c>
      <c r="E72" s="12" t="s">
        <v>3</v>
      </c>
      <c r="F72" s="7">
        <f>C72</f>
        <v>1</v>
      </c>
      <c r="G72" s="7">
        <f>C72</f>
        <v>1</v>
      </c>
      <c r="H72" s="7">
        <f>C72</f>
        <v>1</v>
      </c>
      <c r="I72" s="12" t="s">
        <v>3</v>
      </c>
      <c r="J72" s="7">
        <f>C72</f>
        <v>1</v>
      </c>
    </row>
    <row r="73" spans="1:10" ht="18.75" x14ac:dyDescent="0.25">
      <c r="A73" s="10" t="s">
        <v>149</v>
      </c>
      <c r="B73" s="11" t="s">
        <v>150</v>
      </c>
      <c r="C73" s="6">
        <v>1</v>
      </c>
      <c r="D73" s="10" t="s">
        <v>3</v>
      </c>
      <c r="E73" s="10" t="s">
        <v>3</v>
      </c>
      <c r="F73" s="7">
        <f>C73</f>
        <v>1</v>
      </c>
      <c r="G73" s="7">
        <f>C73</f>
        <v>1</v>
      </c>
      <c r="H73" s="10" t="s">
        <v>3</v>
      </c>
      <c r="I73" s="7">
        <f>C73</f>
        <v>1</v>
      </c>
      <c r="J73" s="7">
        <f>C73</f>
        <v>1</v>
      </c>
    </row>
    <row r="74" spans="1:10" ht="18.75" x14ac:dyDescent="0.25">
      <c r="A74" s="12" t="s">
        <v>151</v>
      </c>
      <c r="B74" s="13" t="s">
        <v>152</v>
      </c>
      <c r="C74" s="6">
        <v>1</v>
      </c>
      <c r="D74" s="12" t="s">
        <v>3</v>
      </c>
      <c r="E74" s="12" t="s">
        <v>3</v>
      </c>
      <c r="F74" s="7">
        <f>C74</f>
        <v>1</v>
      </c>
      <c r="G74" s="12" t="s">
        <v>3</v>
      </c>
      <c r="H74" s="7">
        <f>C74</f>
        <v>1</v>
      </c>
      <c r="I74" s="7">
        <f>C74</f>
        <v>1</v>
      </c>
      <c r="J74" s="7">
        <f>C74</f>
        <v>1</v>
      </c>
    </row>
    <row r="75" spans="1:10" ht="18.75" x14ac:dyDescent="0.25">
      <c r="A75" s="10" t="s">
        <v>153</v>
      </c>
      <c r="B75" s="11" t="s">
        <v>154</v>
      </c>
      <c r="C75" s="6">
        <v>1</v>
      </c>
      <c r="D75" s="10" t="s">
        <v>3</v>
      </c>
      <c r="E75" s="10" t="s">
        <v>3</v>
      </c>
      <c r="F75" s="10" t="s">
        <v>3</v>
      </c>
      <c r="G75" s="7">
        <f>C75</f>
        <v>1</v>
      </c>
      <c r="H75" s="7">
        <f>C75</f>
        <v>1</v>
      </c>
      <c r="I75" s="7">
        <f>C75</f>
        <v>1</v>
      </c>
      <c r="J75" s="7">
        <f>C75</f>
        <v>1</v>
      </c>
    </row>
    <row r="76" spans="1:10" ht="18.75" x14ac:dyDescent="0.25">
      <c r="A76" s="14" t="s">
        <v>155</v>
      </c>
      <c r="B76" s="15" t="s">
        <v>156</v>
      </c>
      <c r="C76" s="6">
        <v>1</v>
      </c>
      <c r="D76" s="7">
        <f t="shared" ref="D76:D90" si="8">C76</f>
        <v>1</v>
      </c>
      <c r="E76" s="7">
        <f t="shared" ref="E76:E85" si="9">C76</f>
        <v>1</v>
      </c>
      <c r="F76" s="7">
        <f t="shared" ref="F76:F81" si="10">C76</f>
        <v>1</v>
      </c>
      <c r="G76" s="7">
        <f>C76</f>
        <v>1</v>
      </c>
      <c r="H76" s="7">
        <f>C76</f>
        <v>1</v>
      </c>
      <c r="I76" s="14" t="s">
        <v>3</v>
      </c>
      <c r="J76" s="14" t="s">
        <v>3</v>
      </c>
    </row>
    <row r="77" spans="1:10" ht="18.75" x14ac:dyDescent="0.25">
      <c r="A77" s="16" t="s">
        <v>157</v>
      </c>
      <c r="B77" s="17" t="s">
        <v>158</v>
      </c>
      <c r="C77" s="6">
        <v>1</v>
      </c>
      <c r="D77" s="7">
        <f t="shared" si="8"/>
        <v>1</v>
      </c>
      <c r="E77" s="7">
        <f t="shared" si="9"/>
        <v>1</v>
      </c>
      <c r="F77" s="7">
        <f t="shared" si="10"/>
        <v>1</v>
      </c>
      <c r="G77" s="7">
        <f>C77</f>
        <v>1</v>
      </c>
      <c r="H77" s="16" t="s">
        <v>3</v>
      </c>
      <c r="I77" s="7">
        <f>C77</f>
        <v>1</v>
      </c>
      <c r="J77" s="16" t="s">
        <v>3</v>
      </c>
    </row>
    <row r="78" spans="1:10" ht="18.75" x14ac:dyDescent="0.25">
      <c r="A78" s="14" t="s">
        <v>159</v>
      </c>
      <c r="B78" s="15" t="s">
        <v>160</v>
      </c>
      <c r="C78" s="6">
        <v>1</v>
      </c>
      <c r="D78" s="7">
        <f t="shared" si="8"/>
        <v>1</v>
      </c>
      <c r="E78" s="7">
        <f t="shared" si="9"/>
        <v>1</v>
      </c>
      <c r="F78" s="7">
        <f t="shared" si="10"/>
        <v>1</v>
      </c>
      <c r="G78" s="7">
        <f>C78</f>
        <v>1</v>
      </c>
      <c r="H78" s="14" t="s">
        <v>3</v>
      </c>
      <c r="I78" s="14" t="s">
        <v>3</v>
      </c>
      <c r="J78" s="7">
        <f>C78</f>
        <v>1</v>
      </c>
    </row>
    <row r="79" spans="1:10" ht="18.75" x14ac:dyDescent="0.25">
      <c r="A79" s="16" t="s">
        <v>161</v>
      </c>
      <c r="B79" s="17" t="s">
        <v>162</v>
      </c>
      <c r="C79" s="6">
        <v>1</v>
      </c>
      <c r="D79" s="7">
        <f t="shared" si="8"/>
        <v>1</v>
      </c>
      <c r="E79" s="7">
        <f t="shared" si="9"/>
        <v>1</v>
      </c>
      <c r="F79" s="7">
        <f t="shared" si="10"/>
        <v>1</v>
      </c>
      <c r="G79" s="16" t="s">
        <v>3</v>
      </c>
      <c r="H79" s="7">
        <f>C79</f>
        <v>1</v>
      </c>
      <c r="I79" s="7">
        <f>C79</f>
        <v>1</v>
      </c>
      <c r="J79" s="16" t="s">
        <v>3</v>
      </c>
    </row>
    <row r="80" spans="1:10" ht="18.75" x14ac:dyDescent="0.25">
      <c r="A80" s="14" t="s">
        <v>163</v>
      </c>
      <c r="B80" s="15" t="s">
        <v>164</v>
      </c>
      <c r="C80" s="6">
        <v>1</v>
      </c>
      <c r="D80" s="7">
        <f t="shared" si="8"/>
        <v>1</v>
      </c>
      <c r="E80" s="7">
        <f t="shared" si="9"/>
        <v>1</v>
      </c>
      <c r="F80" s="7">
        <f t="shared" si="10"/>
        <v>1</v>
      </c>
      <c r="G80" s="14" t="s">
        <v>3</v>
      </c>
      <c r="H80" s="7">
        <f>C80</f>
        <v>1</v>
      </c>
      <c r="I80" s="14" t="s">
        <v>3</v>
      </c>
      <c r="J80" s="7">
        <f>C80</f>
        <v>1</v>
      </c>
    </row>
    <row r="81" spans="1:10" ht="18.75" x14ac:dyDescent="0.25">
      <c r="A81" s="16" t="s">
        <v>165</v>
      </c>
      <c r="B81" s="17" t="s">
        <v>166</v>
      </c>
      <c r="C81" s="6">
        <v>1</v>
      </c>
      <c r="D81" s="7">
        <f t="shared" si="8"/>
        <v>1</v>
      </c>
      <c r="E81" s="7">
        <f t="shared" si="9"/>
        <v>1</v>
      </c>
      <c r="F81" s="7">
        <f t="shared" si="10"/>
        <v>1</v>
      </c>
      <c r="G81" s="16" t="s">
        <v>3</v>
      </c>
      <c r="H81" s="16" t="s">
        <v>3</v>
      </c>
      <c r="I81" s="7">
        <f>C81</f>
        <v>1</v>
      </c>
      <c r="J81" s="7">
        <f>C81</f>
        <v>1</v>
      </c>
    </row>
    <row r="82" spans="1:10" ht="18.75" x14ac:dyDescent="0.25">
      <c r="A82" s="14" t="s">
        <v>167</v>
      </c>
      <c r="B82" s="15" t="s">
        <v>168</v>
      </c>
      <c r="C82" s="6">
        <v>1</v>
      </c>
      <c r="D82" s="7">
        <f t="shared" si="8"/>
        <v>1</v>
      </c>
      <c r="E82" s="7">
        <f t="shared" si="9"/>
        <v>1</v>
      </c>
      <c r="F82" s="14" t="s">
        <v>3</v>
      </c>
      <c r="G82" s="7">
        <f>C82</f>
        <v>1</v>
      </c>
      <c r="H82" s="7">
        <f>C82</f>
        <v>1</v>
      </c>
      <c r="I82" s="7">
        <f>C82</f>
        <v>1</v>
      </c>
      <c r="J82" s="14" t="s">
        <v>3</v>
      </c>
    </row>
    <row r="83" spans="1:10" ht="18.75" x14ac:dyDescent="0.25">
      <c r="A83" s="16" t="s">
        <v>169</v>
      </c>
      <c r="B83" s="17" t="s">
        <v>170</v>
      </c>
      <c r="C83" s="6">
        <v>1</v>
      </c>
      <c r="D83" s="7">
        <f t="shared" si="8"/>
        <v>1</v>
      </c>
      <c r="E83" s="7">
        <f t="shared" si="9"/>
        <v>1</v>
      </c>
      <c r="F83" s="16" t="s">
        <v>3</v>
      </c>
      <c r="G83" s="7">
        <f>C83</f>
        <v>1</v>
      </c>
      <c r="H83" s="7">
        <f>C83</f>
        <v>1</v>
      </c>
      <c r="I83" s="16" t="s">
        <v>3</v>
      </c>
      <c r="J83" s="7">
        <f>C83</f>
        <v>1</v>
      </c>
    </row>
    <row r="84" spans="1:10" ht="18.75" x14ac:dyDescent="0.25">
      <c r="A84" s="14" t="s">
        <v>171</v>
      </c>
      <c r="B84" s="15" t="s">
        <v>172</v>
      </c>
      <c r="C84" s="6">
        <v>1</v>
      </c>
      <c r="D84" s="7">
        <f t="shared" si="8"/>
        <v>1</v>
      </c>
      <c r="E84" s="7">
        <f t="shared" si="9"/>
        <v>1</v>
      </c>
      <c r="F84" s="14" t="s">
        <v>3</v>
      </c>
      <c r="G84" s="7">
        <f>C84</f>
        <v>1</v>
      </c>
      <c r="H84" s="14" t="s">
        <v>3</v>
      </c>
      <c r="I84" s="7">
        <f>C84</f>
        <v>1</v>
      </c>
      <c r="J84" s="7">
        <f>C84</f>
        <v>1</v>
      </c>
    </row>
    <row r="85" spans="1:10" ht="18.75" x14ac:dyDescent="0.25">
      <c r="A85" s="16" t="s">
        <v>173</v>
      </c>
      <c r="B85" s="17" t="s">
        <v>174</v>
      </c>
      <c r="C85" s="6">
        <v>1</v>
      </c>
      <c r="D85" s="7">
        <f t="shared" si="8"/>
        <v>1</v>
      </c>
      <c r="E85" s="7">
        <f t="shared" si="9"/>
        <v>1</v>
      </c>
      <c r="F85" s="16" t="s">
        <v>3</v>
      </c>
      <c r="G85" s="16" t="s">
        <v>3</v>
      </c>
      <c r="H85" s="7">
        <f>C85</f>
        <v>1</v>
      </c>
      <c r="I85" s="7">
        <f>C85</f>
        <v>1</v>
      </c>
      <c r="J85" s="7">
        <f>C85</f>
        <v>1</v>
      </c>
    </row>
    <row r="86" spans="1:10" ht="18.75" x14ac:dyDescent="0.25">
      <c r="A86" s="14" t="s">
        <v>175</v>
      </c>
      <c r="B86" s="15" t="s">
        <v>176</v>
      </c>
      <c r="C86" s="6">
        <v>1</v>
      </c>
      <c r="D86" s="7">
        <f t="shared" si="8"/>
        <v>1</v>
      </c>
      <c r="E86" s="14" t="s">
        <v>3</v>
      </c>
      <c r="F86" s="7">
        <f>C86</f>
        <v>1</v>
      </c>
      <c r="G86" s="7">
        <f>C86</f>
        <v>1</v>
      </c>
      <c r="H86" s="7">
        <f>C86</f>
        <v>1</v>
      </c>
      <c r="I86" s="7">
        <f>C86</f>
        <v>1</v>
      </c>
      <c r="J86" s="14" t="s">
        <v>3</v>
      </c>
    </row>
    <row r="87" spans="1:10" ht="18.75" x14ac:dyDescent="0.25">
      <c r="A87" s="16" t="s">
        <v>177</v>
      </c>
      <c r="B87" s="17" t="s">
        <v>178</v>
      </c>
      <c r="C87" s="6">
        <v>1</v>
      </c>
      <c r="D87" s="7">
        <f t="shared" si="8"/>
        <v>1</v>
      </c>
      <c r="E87" s="16" t="s">
        <v>3</v>
      </c>
      <c r="F87" s="7">
        <f>C87</f>
        <v>1</v>
      </c>
      <c r="G87" s="7">
        <f>C87</f>
        <v>1</v>
      </c>
      <c r="H87" s="7">
        <f>C87</f>
        <v>1</v>
      </c>
      <c r="I87" s="16" t="s">
        <v>3</v>
      </c>
      <c r="J87" s="7">
        <f>C87</f>
        <v>1</v>
      </c>
    </row>
    <row r="88" spans="1:10" ht="18.75" x14ac:dyDescent="0.25">
      <c r="A88" s="14" t="s">
        <v>179</v>
      </c>
      <c r="B88" s="15" t="s">
        <v>180</v>
      </c>
      <c r="C88" s="6">
        <v>1</v>
      </c>
      <c r="D88" s="7">
        <f t="shared" si="8"/>
        <v>1</v>
      </c>
      <c r="E88" s="14" t="s">
        <v>3</v>
      </c>
      <c r="F88" s="7">
        <f>C88</f>
        <v>1</v>
      </c>
      <c r="G88" s="7">
        <f>C88</f>
        <v>1</v>
      </c>
      <c r="H88" s="14" t="s">
        <v>3</v>
      </c>
      <c r="I88" s="7">
        <f>C88</f>
        <v>1</v>
      </c>
      <c r="J88" s="7">
        <f>C88</f>
        <v>1</v>
      </c>
    </row>
    <row r="89" spans="1:10" ht="18.75" x14ac:dyDescent="0.25">
      <c r="A89" s="16" t="s">
        <v>181</v>
      </c>
      <c r="B89" s="17" t="s">
        <v>182</v>
      </c>
      <c r="C89" s="6">
        <v>1</v>
      </c>
      <c r="D89" s="7">
        <f t="shared" si="8"/>
        <v>1</v>
      </c>
      <c r="E89" s="16" t="s">
        <v>3</v>
      </c>
      <c r="F89" s="7">
        <f>C89</f>
        <v>1</v>
      </c>
      <c r="G89" s="16" t="s">
        <v>3</v>
      </c>
      <c r="H89" s="7">
        <f>C89</f>
        <v>1</v>
      </c>
      <c r="I89" s="7">
        <f>C89</f>
        <v>1</v>
      </c>
      <c r="J89" s="7">
        <f>C89</f>
        <v>1</v>
      </c>
    </row>
    <row r="90" spans="1:10" ht="18.75" x14ac:dyDescent="0.25">
      <c r="A90" s="14" t="s">
        <v>183</v>
      </c>
      <c r="B90" s="15" t="s">
        <v>184</v>
      </c>
      <c r="C90" s="6">
        <v>1</v>
      </c>
      <c r="D90" s="7">
        <f t="shared" si="8"/>
        <v>1</v>
      </c>
      <c r="E90" s="14" t="s">
        <v>3</v>
      </c>
      <c r="F90" s="14" t="s">
        <v>3</v>
      </c>
      <c r="G90" s="7">
        <f>C90</f>
        <v>1</v>
      </c>
      <c r="H90" s="7">
        <f>C90</f>
        <v>1</v>
      </c>
      <c r="I90" s="7">
        <f>C90</f>
        <v>1</v>
      </c>
      <c r="J90" s="7">
        <f>C90</f>
        <v>1</v>
      </c>
    </row>
    <row r="91" spans="1:10" ht="18.75" x14ac:dyDescent="0.25">
      <c r="A91" s="16" t="s">
        <v>185</v>
      </c>
      <c r="B91" s="17" t="s">
        <v>186</v>
      </c>
      <c r="C91" s="6">
        <v>1</v>
      </c>
      <c r="D91" s="16" t="s">
        <v>3</v>
      </c>
      <c r="E91" s="7">
        <f>C91</f>
        <v>1</v>
      </c>
      <c r="F91" s="7">
        <f>C91</f>
        <v>1</v>
      </c>
      <c r="G91" s="7">
        <f>C91</f>
        <v>1</v>
      </c>
      <c r="H91" s="7">
        <f>C91</f>
        <v>1</v>
      </c>
      <c r="I91" s="7">
        <f>C91</f>
        <v>1</v>
      </c>
      <c r="J91" s="16" t="s">
        <v>3</v>
      </c>
    </row>
    <row r="92" spans="1:10" ht="18.75" x14ac:dyDescent="0.25">
      <c r="A92" s="14" t="s">
        <v>187</v>
      </c>
      <c r="B92" s="15" t="s">
        <v>188</v>
      </c>
      <c r="C92" s="6">
        <v>1</v>
      </c>
      <c r="D92" s="14" t="s">
        <v>3</v>
      </c>
      <c r="E92" s="7">
        <f>C92</f>
        <v>1</v>
      </c>
      <c r="F92" s="7">
        <f>C92</f>
        <v>1</v>
      </c>
      <c r="G92" s="7">
        <f>C92</f>
        <v>1</v>
      </c>
      <c r="H92" s="7">
        <f>C92</f>
        <v>1</v>
      </c>
      <c r="I92" s="14" t="s">
        <v>3</v>
      </c>
      <c r="J92" s="7">
        <f>C92</f>
        <v>1</v>
      </c>
    </row>
    <row r="93" spans="1:10" ht="18.75" x14ac:dyDescent="0.25">
      <c r="A93" s="16" t="s">
        <v>189</v>
      </c>
      <c r="B93" s="17" t="s">
        <v>190</v>
      </c>
      <c r="C93" s="6">
        <v>1</v>
      </c>
      <c r="D93" s="16" t="s">
        <v>3</v>
      </c>
      <c r="E93" s="7">
        <f>C93</f>
        <v>1</v>
      </c>
      <c r="F93" s="7">
        <f>C93</f>
        <v>1</v>
      </c>
      <c r="G93" s="7">
        <f>C93</f>
        <v>1</v>
      </c>
      <c r="H93" s="16" t="s">
        <v>3</v>
      </c>
      <c r="I93" s="7">
        <f>C93</f>
        <v>1</v>
      </c>
      <c r="J93" s="7">
        <f>C93</f>
        <v>1</v>
      </c>
    </row>
    <row r="94" spans="1:10" ht="18.75" x14ac:dyDescent="0.25">
      <c r="A94" s="14" t="s">
        <v>191</v>
      </c>
      <c r="B94" s="15" t="s">
        <v>192</v>
      </c>
      <c r="C94" s="6">
        <v>1</v>
      </c>
      <c r="D94" s="14" t="s">
        <v>3</v>
      </c>
      <c r="E94" s="7">
        <f>C94</f>
        <v>1</v>
      </c>
      <c r="F94" s="7">
        <f>C94</f>
        <v>1</v>
      </c>
      <c r="G94" s="14" t="s">
        <v>3</v>
      </c>
      <c r="H94" s="7">
        <f>C94</f>
        <v>1</v>
      </c>
      <c r="I94" s="7">
        <f>C94</f>
        <v>1</v>
      </c>
      <c r="J94" s="7">
        <f>C94</f>
        <v>1</v>
      </c>
    </row>
    <row r="95" spans="1:10" ht="18.75" x14ac:dyDescent="0.25">
      <c r="A95" s="16" t="s">
        <v>193</v>
      </c>
      <c r="B95" s="17" t="s">
        <v>194</v>
      </c>
      <c r="C95" s="6">
        <v>1</v>
      </c>
      <c r="D95" s="16" t="s">
        <v>3</v>
      </c>
      <c r="E95" s="7">
        <f>C95</f>
        <v>1</v>
      </c>
      <c r="F95" s="16" t="s">
        <v>3</v>
      </c>
      <c r="G95" s="7">
        <f>C95</f>
        <v>1</v>
      </c>
      <c r="H95" s="7">
        <f>C95</f>
        <v>1</v>
      </c>
      <c r="I95" s="7">
        <f>C95</f>
        <v>1</v>
      </c>
      <c r="J95" s="7">
        <f>C95</f>
        <v>1</v>
      </c>
    </row>
    <row r="96" spans="1:10" ht="18.75" x14ac:dyDescent="0.25">
      <c r="A96" s="14" t="s">
        <v>195</v>
      </c>
      <c r="B96" s="15" t="s">
        <v>196</v>
      </c>
      <c r="C96" s="6">
        <v>1</v>
      </c>
      <c r="D96" s="14" t="s">
        <v>3</v>
      </c>
      <c r="E96" s="14" t="s">
        <v>3</v>
      </c>
      <c r="F96" s="7">
        <f>C96</f>
        <v>1</v>
      </c>
      <c r="G96" s="7">
        <f>C96</f>
        <v>1</v>
      </c>
      <c r="H96" s="7">
        <f>C96</f>
        <v>1</v>
      </c>
      <c r="I96" s="7">
        <f>C96</f>
        <v>1</v>
      </c>
      <c r="J96" s="7">
        <f>C96</f>
        <v>1</v>
      </c>
    </row>
    <row r="97" spans="1:10" ht="18.75" x14ac:dyDescent="0.25">
      <c r="A97" s="18" t="s">
        <v>197</v>
      </c>
      <c r="B97" s="19" t="s">
        <v>198</v>
      </c>
      <c r="C97" s="6">
        <v>1</v>
      </c>
      <c r="D97" s="7">
        <f t="shared" ref="D97:D102" si="11">C97</f>
        <v>1</v>
      </c>
      <c r="E97" s="7">
        <f>C97</f>
        <v>1</v>
      </c>
      <c r="F97" s="7">
        <f>C97</f>
        <v>1</v>
      </c>
      <c r="G97" s="7">
        <f>C97</f>
        <v>1</v>
      </c>
      <c r="H97" s="7">
        <f>C97</f>
        <v>1</v>
      </c>
      <c r="I97" s="7">
        <f>C97</f>
        <v>1</v>
      </c>
      <c r="J97" s="18" t="s">
        <v>3</v>
      </c>
    </row>
    <row r="98" spans="1:10" ht="18.75" x14ac:dyDescent="0.25">
      <c r="A98" s="20" t="s">
        <v>199</v>
      </c>
      <c r="B98" s="21" t="s">
        <v>200</v>
      </c>
      <c r="C98" s="6">
        <v>1</v>
      </c>
      <c r="D98" s="7">
        <f t="shared" si="11"/>
        <v>1</v>
      </c>
      <c r="E98" s="7">
        <f>C98</f>
        <v>1</v>
      </c>
      <c r="F98" s="7">
        <f>C98</f>
        <v>1</v>
      </c>
      <c r="G98" s="7">
        <f>C98</f>
        <v>1</v>
      </c>
      <c r="H98" s="7">
        <f>C98</f>
        <v>1</v>
      </c>
      <c r="I98" s="20" t="s">
        <v>3</v>
      </c>
      <c r="J98" s="7">
        <f t="shared" ref="J98:J103" si="12">C98</f>
        <v>1</v>
      </c>
    </row>
    <row r="99" spans="1:10" ht="18.75" x14ac:dyDescent="0.25">
      <c r="A99" s="18" t="s">
        <v>201</v>
      </c>
      <c r="B99" s="19" t="s">
        <v>202</v>
      </c>
      <c r="C99" s="6">
        <v>1</v>
      </c>
      <c r="D99" s="7">
        <f t="shared" si="11"/>
        <v>1</v>
      </c>
      <c r="E99" s="7">
        <f>C99</f>
        <v>1</v>
      </c>
      <c r="F99" s="7">
        <f>C99</f>
        <v>1</v>
      </c>
      <c r="G99" s="7">
        <f>C99</f>
        <v>1</v>
      </c>
      <c r="H99" s="18" t="s">
        <v>3</v>
      </c>
      <c r="I99" s="7">
        <f>C99</f>
        <v>1</v>
      </c>
      <c r="J99" s="7">
        <f t="shared" si="12"/>
        <v>1</v>
      </c>
    </row>
    <row r="100" spans="1:10" ht="18.75" x14ac:dyDescent="0.25">
      <c r="A100" s="20" t="s">
        <v>203</v>
      </c>
      <c r="B100" s="21" t="s">
        <v>204</v>
      </c>
      <c r="C100" s="6">
        <v>1</v>
      </c>
      <c r="D100" s="7">
        <f t="shared" si="11"/>
        <v>1</v>
      </c>
      <c r="E100" s="7">
        <f>C100</f>
        <v>1</v>
      </c>
      <c r="F100" s="7">
        <f>C100</f>
        <v>1</v>
      </c>
      <c r="G100" s="20" t="s">
        <v>3</v>
      </c>
      <c r="H100" s="7">
        <f>C100</f>
        <v>1</v>
      </c>
      <c r="I100" s="7">
        <f>C100</f>
        <v>1</v>
      </c>
      <c r="J100" s="7">
        <f t="shared" si="12"/>
        <v>1</v>
      </c>
    </row>
    <row r="101" spans="1:10" ht="18.75" x14ac:dyDescent="0.25">
      <c r="A101" s="18" t="s">
        <v>205</v>
      </c>
      <c r="B101" s="19" t="s">
        <v>206</v>
      </c>
      <c r="C101" s="6">
        <v>1</v>
      </c>
      <c r="D101" s="7">
        <f t="shared" si="11"/>
        <v>1</v>
      </c>
      <c r="E101" s="7">
        <f>C101</f>
        <v>1</v>
      </c>
      <c r="F101" s="18" t="s">
        <v>3</v>
      </c>
      <c r="G101" s="7">
        <f>C101</f>
        <v>1</v>
      </c>
      <c r="H101" s="7">
        <f>C101</f>
        <v>1</v>
      </c>
      <c r="I101" s="7">
        <f>C101</f>
        <v>1</v>
      </c>
      <c r="J101" s="7">
        <f t="shared" si="12"/>
        <v>1</v>
      </c>
    </row>
    <row r="102" spans="1:10" ht="18.75" x14ac:dyDescent="0.25">
      <c r="A102" s="20" t="s">
        <v>207</v>
      </c>
      <c r="B102" s="21" t="s">
        <v>208</v>
      </c>
      <c r="C102" s="6">
        <v>1</v>
      </c>
      <c r="D102" s="7">
        <f t="shared" si="11"/>
        <v>1</v>
      </c>
      <c r="E102" s="20" t="s">
        <v>3</v>
      </c>
      <c r="F102" s="7">
        <f>C102</f>
        <v>1</v>
      </c>
      <c r="G102" s="7">
        <f>C102</f>
        <v>1</v>
      </c>
      <c r="H102" s="7">
        <f>C102</f>
        <v>1</v>
      </c>
      <c r="I102" s="7">
        <f>C102</f>
        <v>1</v>
      </c>
      <c r="J102" s="7">
        <f t="shared" si="12"/>
        <v>1</v>
      </c>
    </row>
    <row r="103" spans="1:10" ht="18.75" x14ac:dyDescent="0.25">
      <c r="A103" s="18" t="s">
        <v>209</v>
      </c>
      <c r="B103" s="19" t="s">
        <v>210</v>
      </c>
      <c r="C103" s="6">
        <v>1</v>
      </c>
      <c r="D103" s="18" t="s">
        <v>3</v>
      </c>
      <c r="E103" s="7">
        <f>C103</f>
        <v>1</v>
      </c>
      <c r="F103" s="7">
        <f>C103</f>
        <v>1</v>
      </c>
      <c r="G103" s="7">
        <f>C103</f>
        <v>1</v>
      </c>
      <c r="H103" s="7">
        <f>C103</f>
        <v>1</v>
      </c>
      <c r="I103" s="7">
        <f>C103</f>
        <v>1</v>
      </c>
      <c r="J103" s="7">
        <f t="shared" si="12"/>
        <v>1</v>
      </c>
    </row>
    <row r="104" spans="1:10" ht="18.75" x14ac:dyDescent="0.25">
      <c r="A104" s="22" t="s">
        <v>211</v>
      </c>
      <c r="B104" s="22" t="s">
        <v>212</v>
      </c>
      <c r="C104" s="6">
        <v>1</v>
      </c>
      <c r="D104" s="23" t="s">
        <v>3</v>
      </c>
      <c r="E104" s="23" t="s">
        <v>3</v>
      </c>
      <c r="F104" s="23" t="s">
        <v>3</v>
      </c>
      <c r="G104" s="23" t="s">
        <v>3</v>
      </c>
      <c r="H104" s="23" t="s">
        <v>3</v>
      </c>
      <c r="I104" s="23" t="s">
        <v>3</v>
      </c>
      <c r="J104" s="23" t="s">
        <v>3</v>
      </c>
    </row>
    <row r="105" spans="1:10" ht="21.4" customHeight="1" x14ac:dyDescent="0.25">
      <c r="A105" s="39" t="s">
        <v>3</v>
      </c>
      <c r="B105" s="39"/>
      <c r="C105" s="24">
        <f t="shared" ref="C105:J105" si="13">SUM(C6:C103)</f>
        <v>98</v>
      </c>
      <c r="D105" s="24">
        <f t="shared" si="13"/>
        <v>56</v>
      </c>
      <c r="E105" s="24">
        <f t="shared" si="13"/>
        <v>56</v>
      </c>
      <c r="F105" s="24">
        <f t="shared" si="13"/>
        <v>56</v>
      </c>
      <c r="G105" s="24">
        <f t="shared" si="13"/>
        <v>56</v>
      </c>
      <c r="H105" s="24">
        <f t="shared" si="13"/>
        <v>56</v>
      </c>
      <c r="I105" s="24">
        <f t="shared" si="13"/>
        <v>56</v>
      </c>
      <c r="J105" s="24">
        <f t="shared" si="13"/>
        <v>56</v>
      </c>
    </row>
    <row r="107" spans="1:10" ht="26.65" customHeight="1" x14ac:dyDescent="0.25">
      <c r="A107" s="40" t="str">
        <f>IF((J2=(C105+C104)),"✅ SỐ LIỆU KHỚP — KẾT QUẢ HỢP LỆ","⚠️ SỐ LIỆU CHƯA KHỚP — KẾT QUẢ BỊ KHOÁ (Tổng nhập: "&amp;TEXT(C105+C104,"0")&amp;" / Phát ra: "&amp;TEXT(J2,"0")&amp;")")</f>
        <v>✅ SỐ LIỆU KHỚP — KẾT QUẢ HỢP LỆ</v>
      </c>
      <c r="B107" s="40"/>
      <c r="C107" s="40"/>
      <c r="D107" s="40"/>
      <c r="E107" s="40"/>
      <c r="F107" s="40"/>
      <c r="G107" s="40"/>
      <c r="H107" s="40"/>
      <c r="I107" s="40"/>
      <c r="J107" s="40"/>
    </row>
    <row r="109" spans="1:10" ht="24" customHeight="1" x14ac:dyDescent="0.25">
      <c r="A109" s="25" t="s">
        <v>3</v>
      </c>
      <c r="B109" s="25" t="s">
        <v>213</v>
      </c>
      <c r="C109" s="25" t="s">
        <v>214</v>
      </c>
      <c r="D109" s="25" t="s">
        <v>215</v>
      </c>
      <c r="E109" s="25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</row>
    <row r="110" spans="1:10" ht="20.25" x14ac:dyDescent="0.25">
      <c r="A110" s="26">
        <v>1</v>
      </c>
      <c r="B110" s="27" t="s">
        <v>5</v>
      </c>
      <c r="C110" s="26">
        <f>J2</f>
        <v>99</v>
      </c>
      <c r="D110" s="26">
        <f>D105</f>
        <v>56</v>
      </c>
      <c r="E110" s="28">
        <f>IF((J2=(C105+C104)),C110-D110,"⚠️ Chưa khớp")</f>
        <v>43</v>
      </c>
    </row>
    <row r="111" spans="1:10" ht="20.25" x14ac:dyDescent="0.25">
      <c r="A111" s="26">
        <v>2</v>
      </c>
      <c r="B111" s="27" t="s">
        <v>6</v>
      </c>
      <c r="C111" s="26">
        <f>J2</f>
        <v>99</v>
      </c>
      <c r="D111" s="26">
        <f>E105</f>
        <v>56</v>
      </c>
      <c r="E111" s="28">
        <f>IF((J2=(C105+C104)),C111-D111,"⚠️ Chưa khớp")</f>
        <v>43</v>
      </c>
    </row>
    <row r="112" spans="1:10" ht="20.25" x14ac:dyDescent="0.25">
      <c r="A112" s="26">
        <v>3</v>
      </c>
      <c r="B112" s="27" t="s">
        <v>7</v>
      </c>
      <c r="C112" s="26">
        <f>J2</f>
        <v>99</v>
      </c>
      <c r="D112" s="26">
        <f>F105</f>
        <v>56</v>
      </c>
      <c r="E112" s="28">
        <f>IF((J2=(C105+C104)),C112-D112,"⚠️ Chưa khớp")</f>
        <v>43</v>
      </c>
    </row>
    <row r="113" spans="1:10" ht="20.25" x14ac:dyDescent="0.25">
      <c r="A113" s="26">
        <v>4</v>
      </c>
      <c r="B113" s="27" t="s">
        <v>8</v>
      </c>
      <c r="C113" s="26">
        <f>J2</f>
        <v>99</v>
      </c>
      <c r="D113" s="26">
        <f>G105</f>
        <v>56</v>
      </c>
      <c r="E113" s="28">
        <f>IF((J2=(C105+C104)),C113-D113,"⚠️ Chưa khớp")</f>
        <v>43</v>
      </c>
    </row>
    <row r="114" spans="1:10" ht="20.25" x14ac:dyDescent="0.25">
      <c r="A114" s="26">
        <v>5</v>
      </c>
      <c r="B114" s="27" t="s">
        <v>9</v>
      </c>
      <c r="C114" s="26">
        <f>J2</f>
        <v>99</v>
      </c>
      <c r="D114" s="26">
        <f>H105</f>
        <v>56</v>
      </c>
      <c r="E114" s="28">
        <f>IF((J2=(C105+C104)),C114-D114,"⚠️ Chưa khớp")</f>
        <v>43</v>
      </c>
    </row>
    <row r="115" spans="1:10" ht="20.25" x14ac:dyDescent="0.25">
      <c r="A115" s="26">
        <v>6</v>
      </c>
      <c r="B115" s="27" t="s">
        <v>10</v>
      </c>
      <c r="C115" s="26">
        <f>J2</f>
        <v>99</v>
      </c>
      <c r="D115" s="26">
        <f>I105</f>
        <v>56</v>
      </c>
      <c r="E115" s="28">
        <f>IF((J2=(C105+C104)),C115-D115,"⚠️ Chưa khớp")</f>
        <v>43</v>
      </c>
    </row>
    <row r="116" spans="1:10" ht="20.25" x14ac:dyDescent="0.25">
      <c r="A116" s="26">
        <v>7</v>
      </c>
      <c r="B116" s="27" t="s">
        <v>11</v>
      </c>
      <c r="C116" s="26">
        <f>J2</f>
        <v>99</v>
      </c>
      <c r="D116" s="26">
        <f>J105</f>
        <v>56</v>
      </c>
      <c r="E116" s="28">
        <f>IF((J2=(C105+C104)),C116-D116,"⚠️ Chưa khớp")</f>
        <v>43</v>
      </c>
    </row>
    <row r="118" spans="1:10" ht="29.45" customHeight="1" x14ac:dyDescent="0.25">
      <c r="A118" s="41" t="s">
        <v>216</v>
      </c>
      <c r="B118" s="41"/>
      <c r="C118" s="41"/>
      <c r="D118" s="41"/>
      <c r="E118" s="41"/>
      <c r="F118" s="41"/>
      <c r="G118" s="41"/>
      <c r="H118" s="41"/>
      <c r="I118" s="41"/>
      <c r="J118" s="41"/>
    </row>
    <row r="119" spans="1:10" ht="19.5" x14ac:dyDescent="0.25">
      <c r="A119" s="42" t="s">
        <v>217</v>
      </c>
      <c r="B119" s="42"/>
      <c r="C119" s="43">
        <f>J2</f>
        <v>99</v>
      </c>
      <c r="D119" s="43"/>
      <c r="E119" s="43"/>
      <c r="F119" s="43"/>
      <c r="G119" s="43"/>
      <c r="H119" s="43"/>
      <c r="I119" s="43"/>
      <c r="J119" s="43"/>
    </row>
    <row r="120" spans="1:10" ht="19.5" x14ac:dyDescent="0.25">
      <c r="A120" s="42" t="s">
        <v>218</v>
      </c>
      <c r="B120" s="42"/>
      <c r="C120" s="44">
        <f>C105</f>
        <v>98</v>
      </c>
      <c r="D120" s="44"/>
      <c r="E120" s="44"/>
      <c r="F120" s="44"/>
      <c r="G120" s="44"/>
      <c r="H120" s="44"/>
      <c r="I120" s="44"/>
      <c r="J120" s="44"/>
    </row>
    <row r="121" spans="1:10" ht="19.5" x14ac:dyDescent="0.25">
      <c r="A121" s="42" t="s">
        <v>219</v>
      </c>
      <c r="B121" s="42"/>
      <c r="C121" s="45">
        <f>C104</f>
        <v>1</v>
      </c>
      <c r="D121" s="45"/>
      <c r="E121" s="45"/>
      <c r="F121" s="45"/>
      <c r="G121" s="45"/>
      <c r="H121" s="45"/>
      <c r="I121" s="45"/>
      <c r="J121" s="45"/>
    </row>
    <row r="122" spans="1:10" ht="19.5" x14ac:dyDescent="0.25">
      <c r="A122" s="42" t="s">
        <v>220</v>
      </c>
      <c r="B122" s="42"/>
      <c r="C122" s="46" t="s">
        <v>221</v>
      </c>
      <c r="D122" s="46"/>
      <c r="E122" s="46"/>
      <c r="F122" s="46"/>
      <c r="G122" s="46"/>
      <c r="H122" s="46"/>
      <c r="I122" s="46"/>
      <c r="J122" s="46"/>
    </row>
    <row r="124" spans="1:10" ht="26.65" customHeight="1" x14ac:dyDescent="0.25">
      <c r="A124" s="47" t="s">
        <v>222</v>
      </c>
      <c r="B124" s="47"/>
      <c r="C124" s="47"/>
      <c r="D124" s="47"/>
      <c r="E124" s="47"/>
      <c r="F124" s="47"/>
      <c r="G124" s="47"/>
      <c r="H124" s="47"/>
      <c r="I124" s="47"/>
      <c r="J124" s="47"/>
    </row>
    <row r="125" spans="1:10" ht="24" customHeight="1" x14ac:dyDescent="0.25">
      <c r="A125" s="25" t="s">
        <v>3</v>
      </c>
      <c r="B125" s="25" t="s">
        <v>213</v>
      </c>
      <c r="C125" s="25" t="s">
        <v>223</v>
      </c>
      <c r="D125" s="25" t="s">
        <v>224</v>
      </c>
      <c r="E125" s="48" t="s">
        <v>3</v>
      </c>
      <c r="F125" s="48"/>
      <c r="G125" s="48"/>
      <c r="H125" s="48"/>
      <c r="I125" s="48"/>
      <c r="J125" s="48"/>
    </row>
    <row r="126" spans="1:10" ht="24" customHeight="1" x14ac:dyDescent="0.25">
      <c r="A126" s="29">
        <v>1</v>
      </c>
      <c r="B126" s="30" t="s">
        <v>5</v>
      </c>
      <c r="C126" s="31">
        <f>IF((J2=(C105+C104)),E110,"—")</f>
        <v>43</v>
      </c>
      <c r="D126" s="32">
        <f>IF((J2=(C105+C104)),RANK(C126,E$110:E$116),"—")</f>
        <v>1</v>
      </c>
      <c r="E126" s="49" t="str">
        <f>IF((J2=(C105+C104)),IF(D126&lt;=4,"★ TRÚNG CỬ ★","KHÔNG TRÚNG CỬ"),"⚠️ Chưa khớp số liệu")</f>
        <v>★ TRÚNG CỬ ★</v>
      </c>
      <c r="F126" s="49"/>
      <c r="G126" s="49"/>
      <c r="H126" s="49"/>
      <c r="I126" s="49"/>
      <c r="J126" s="49"/>
    </row>
    <row r="127" spans="1:10" ht="24" customHeight="1" x14ac:dyDescent="0.25">
      <c r="A127" s="29">
        <v>2</v>
      </c>
      <c r="B127" s="30" t="s">
        <v>6</v>
      </c>
      <c r="C127" s="31">
        <f>IF((J2=(C105+C104)),E111,"—")</f>
        <v>43</v>
      </c>
      <c r="D127" s="32">
        <f>IF((J2=(C105+C104)),RANK(C127,E$110:E$116),"—")</f>
        <v>1</v>
      </c>
      <c r="E127" s="49" t="str">
        <f>IF((J2=(C105+C104)),IF(D127&lt;=4,"★ TRÚNG CỬ ★","KHÔNG TRÚNG CỬ"),"⚠️ Chưa khớp số liệu")</f>
        <v>★ TRÚNG CỬ ★</v>
      </c>
      <c r="F127" s="49"/>
      <c r="G127" s="49"/>
      <c r="H127" s="49"/>
      <c r="I127" s="49"/>
      <c r="J127" s="49"/>
    </row>
    <row r="128" spans="1:10" ht="24" customHeight="1" x14ac:dyDescent="0.25">
      <c r="A128" s="29">
        <v>3</v>
      </c>
      <c r="B128" s="30" t="s">
        <v>7</v>
      </c>
      <c r="C128" s="31">
        <f>IF((J2=(C105+C104)),E112,"—")</f>
        <v>43</v>
      </c>
      <c r="D128" s="32">
        <f>IF((J2=(C105+C104)),RANK(C128,E$110:E$116),"—")</f>
        <v>1</v>
      </c>
      <c r="E128" s="49" t="str">
        <f>IF((J2=(C105+C104)),IF(D128&lt;=4,"★ TRÚNG CỬ ★","KHÔNG TRÚNG CỬ"),"⚠️ Chưa khớp số liệu")</f>
        <v>★ TRÚNG CỬ ★</v>
      </c>
      <c r="F128" s="49"/>
      <c r="G128" s="49"/>
      <c r="H128" s="49"/>
      <c r="I128" s="49"/>
      <c r="J128" s="49"/>
    </row>
    <row r="129" spans="1:10" ht="24" customHeight="1" x14ac:dyDescent="0.25">
      <c r="A129" s="29">
        <v>4</v>
      </c>
      <c r="B129" s="30" t="s">
        <v>8</v>
      </c>
      <c r="C129" s="31">
        <f>IF((J2=(C105+C104)),E113,"—")</f>
        <v>43</v>
      </c>
      <c r="D129" s="32">
        <f>IF((J2=(C105+C104)),RANK(C129,E$110:E$116),"—")</f>
        <v>1</v>
      </c>
      <c r="E129" s="49" t="str">
        <f>IF((J2=(C105+C104)),IF(D129&lt;=4,"★ TRÚNG CỬ ★","KHÔNG TRÚNG CỬ"),"⚠️ Chưa khớp số liệu")</f>
        <v>★ TRÚNG CỬ ★</v>
      </c>
      <c r="F129" s="49"/>
      <c r="G129" s="49"/>
      <c r="H129" s="49"/>
      <c r="I129" s="49"/>
      <c r="J129" s="49"/>
    </row>
    <row r="130" spans="1:10" ht="24" customHeight="1" x14ac:dyDescent="0.25">
      <c r="A130" s="29">
        <v>5</v>
      </c>
      <c r="B130" s="30" t="s">
        <v>9</v>
      </c>
      <c r="C130" s="31">
        <f>IF((J2=(C105+C104)),E114,"—")</f>
        <v>43</v>
      </c>
      <c r="D130" s="32">
        <f>IF((J2=(C105+C104)),RANK(C130,E$110:E$116),"—")</f>
        <v>1</v>
      </c>
      <c r="E130" s="49" t="str">
        <f>IF((J2=(C105+C104)),IF(D130&lt;=4,"★ TRÚNG CỬ ★","KHÔNG TRÚNG CỬ"),"⚠️ Chưa khớp số liệu")</f>
        <v>★ TRÚNG CỬ ★</v>
      </c>
      <c r="F130" s="49"/>
      <c r="G130" s="49"/>
      <c r="H130" s="49"/>
      <c r="I130" s="49"/>
      <c r="J130" s="49"/>
    </row>
    <row r="131" spans="1:10" ht="24" customHeight="1" x14ac:dyDescent="0.25">
      <c r="A131" s="29">
        <v>6</v>
      </c>
      <c r="B131" s="30" t="s">
        <v>10</v>
      </c>
      <c r="C131" s="31">
        <f>IF((J2=(C105+C104)),E115,"—")</f>
        <v>43</v>
      </c>
      <c r="D131" s="32">
        <f>IF((J2=(C105+C104)),RANK(C131,E$110:E$116),"—")</f>
        <v>1</v>
      </c>
      <c r="E131" s="49" t="str">
        <f>IF((J2=(C105+C104)),IF(D131&lt;=4,"★ TRÚNG CỬ ★","KHÔNG TRÚNG CỬ"),"⚠️ Chưa khớp số liệu")</f>
        <v>★ TRÚNG CỬ ★</v>
      </c>
      <c r="F131" s="49"/>
      <c r="G131" s="49"/>
      <c r="H131" s="49"/>
      <c r="I131" s="49"/>
      <c r="J131" s="49"/>
    </row>
    <row r="132" spans="1:10" ht="24" customHeight="1" x14ac:dyDescent="0.25">
      <c r="A132" s="29">
        <v>7</v>
      </c>
      <c r="B132" s="30" t="s">
        <v>11</v>
      </c>
      <c r="C132" s="31">
        <f>IF((J2=(C105+C104)),E116,"—")</f>
        <v>43</v>
      </c>
      <c r="D132" s="32">
        <f>IF((J2=(C105+C104)),RANK(C132,E$110:E$116),"—")</f>
        <v>1</v>
      </c>
      <c r="E132" s="49" t="str">
        <f>IF((J2=(C105+C104)),IF(D132&lt;=4,"★ TRÚNG CỬ ★","KHÔNG TRÚNG CỬ"),"⚠️ Chưa khớp số liệu")</f>
        <v>★ TRÚNG CỬ ★</v>
      </c>
      <c r="F132" s="49"/>
      <c r="G132" s="49"/>
      <c r="H132" s="49"/>
      <c r="I132" s="49"/>
      <c r="J132" s="49"/>
    </row>
    <row r="135" spans="1:10" ht="15.75" x14ac:dyDescent="0.25">
      <c r="A135" s="51" t="s">
        <v>225</v>
      </c>
      <c r="B135" s="51"/>
      <c r="C135" s="51"/>
      <c r="D135" s="51"/>
      <c r="E135" s="51"/>
      <c r="F135" s="51"/>
      <c r="G135" s="51"/>
      <c r="H135" s="51"/>
      <c r="I135" s="51"/>
      <c r="J135" s="51"/>
    </row>
    <row r="136" spans="1:10" ht="15.75" x14ac:dyDescent="0.25">
      <c r="A136" s="52" t="s">
        <v>226</v>
      </c>
      <c r="B136" s="52"/>
      <c r="C136" s="52"/>
      <c r="D136" s="52"/>
      <c r="E136" s="52"/>
      <c r="F136" s="52"/>
      <c r="G136" s="52"/>
      <c r="H136" s="52"/>
      <c r="I136" s="52"/>
      <c r="J136" s="52"/>
    </row>
    <row r="137" spans="1:10" ht="15.75" x14ac:dyDescent="0.25">
      <c r="A137" s="50" t="s">
        <v>227</v>
      </c>
      <c r="B137" s="50"/>
      <c r="C137" s="50"/>
      <c r="D137" s="50"/>
      <c r="E137" s="50"/>
      <c r="F137" s="50"/>
      <c r="G137" s="50"/>
      <c r="H137" s="50"/>
      <c r="I137" s="50"/>
      <c r="J137" s="50"/>
    </row>
  </sheetData>
  <sheetProtection formatCells="0" formatColumns="0" formatRows="0"/>
  <mergeCells count="26">
    <mergeCell ref="A137:J137"/>
    <mergeCell ref="E130:J130"/>
    <mergeCell ref="E131:J131"/>
    <mergeCell ref="E132:J132"/>
    <mergeCell ref="A135:J135"/>
    <mergeCell ref="A136:J136"/>
    <mergeCell ref="E125:J125"/>
    <mergeCell ref="E126:J126"/>
    <mergeCell ref="E127:J127"/>
    <mergeCell ref="E128:J128"/>
    <mergeCell ref="E129:J129"/>
    <mergeCell ref="A121:B121"/>
    <mergeCell ref="C121:J121"/>
    <mergeCell ref="A122:B122"/>
    <mergeCell ref="C122:J122"/>
    <mergeCell ref="A124:J124"/>
    <mergeCell ref="A118:J118"/>
    <mergeCell ref="A119:B119"/>
    <mergeCell ref="C119:J119"/>
    <mergeCell ref="A120:B120"/>
    <mergeCell ref="C120:J120"/>
    <mergeCell ref="A1:J1"/>
    <mergeCell ref="A2:H2"/>
    <mergeCell ref="B4:C4"/>
    <mergeCell ref="A105:B105"/>
    <mergeCell ref="A107:J10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Nhap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2026-03-06T01:19:21Z</dcterms:created>
  <dcterms:modified xsi:type="dcterms:W3CDTF">2026-03-12T08:02:42Z</dcterms:modified>
  <cp:category/>
</cp:coreProperties>
</file>